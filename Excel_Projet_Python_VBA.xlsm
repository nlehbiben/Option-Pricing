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iml\PycharmProjects\pythonProject\"/>
    </mc:Choice>
  </mc:AlternateContent>
  <xr:revisionPtr revIDLastSave="0" documentId="13_ncr:1_{67A756ED-CC72-4440-ABD1-DD28BBBBDC05}" xr6:coauthVersionLast="47" xr6:coauthVersionMax="47" xr10:uidLastSave="{00000000-0000-0000-0000-000000000000}"/>
  <bookViews>
    <workbookView xWindow="-120" yWindow="-120" windowWidth="29040" windowHeight="15720" xr2:uid="{DC5C3541-FF8A-4C37-A338-214FC1B81271}"/>
  </bookViews>
  <sheets>
    <sheet name="Pricing" sheetId="1" r:id="rId1"/>
    <sheet name="Convergence_NbSteps" sheetId="3" r:id="rId2"/>
    <sheet name="Convergence_Strike" sheetId="4" r:id="rId3"/>
    <sheet name="Arbre" sheetId="6" r:id="rId4"/>
    <sheet name="Greeks" sheetId="7" r:id="rId5"/>
  </sheets>
  <definedNames>
    <definedName name="Alpha">Pricing!#REF!</definedName>
    <definedName name="AsOfDate">Pricing!$C$16</definedName>
    <definedName name="ConvergenceDiff">OFFSET(Convergence_NbSteps!$D$2,0,0,LEN(Convergence_NbSteps!$D1048575:$D9995),1)</definedName>
    <definedName name="DeltaT">Pricing!#REF!</definedName>
    <definedName name="Div">Pricing!$C$6</definedName>
    <definedName name="Div_Date">Pricing!$C$7</definedName>
    <definedName name="Gap">Pricing!$C$23</definedName>
    <definedName name="is_pruning">Pricing!$C$18</definedName>
    <definedName name="level_pruning">Pricing!$C$19</definedName>
    <definedName name="Maturity">Pricing!$C$13</definedName>
    <definedName name="max_steps">Pricing!$C$26</definedName>
    <definedName name="Nb_Steps">Pricing!$C$17</definedName>
    <definedName name="Nb_Stepss">Pricing!$C$17</definedName>
    <definedName name="NbSteps">OFFSET(Convergence_NbSteps!$A$2,0,0,LEN(Convergence_NbSteps!$A1048575:$A9995),1)</definedName>
    <definedName name="NbStepss">Pricing!$C$17</definedName>
    <definedName name="Option_value">Pricing!$L$3</definedName>
    <definedName name="Print_tree">Pricing!$C$21</definedName>
    <definedName name="Rate">Pricing!$C$3</definedName>
    <definedName name="StartPrice">Pricing!$C$5</definedName>
    <definedName name="Strike">Pricing!$C$12</definedName>
    <definedName name="Time_run_Black">Pricing!$J$5</definedName>
    <definedName name="Time_run_python">Pricing!$H$5</definedName>
    <definedName name="Time_run_vba">Pricing!$L$5</definedName>
    <definedName name="Time_To_Expiry">Pricing!$B$14</definedName>
    <definedName name="TimeToExpiry">Pricing!$C$14</definedName>
    <definedName name="Type">Pricing!$C$10</definedName>
    <definedName name="Type_exercice">Pricing!$C$11</definedName>
    <definedName name="Vol">Pricing!$C$4</definedName>
    <definedName name="Volality">Pricing!$C$4</definedName>
    <definedName name="Volatility">Pricing!$C$4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C24" i="1"/>
  <c r="C14" i="1"/>
  <c r="C19" i="1"/>
</calcChain>
</file>

<file path=xl/sharedStrings.xml><?xml version="1.0" encoding="utf-8"?>
<sst xmlns="http://schemas.openxmlformats.org/spreadsheetml/2006/main" count="66" uniqueCount="54">
  <si>
    <t>€</t>
  </si>
  <si>
    <t>Type</t>
  </si>
  <si>
    <t>Pricing date</t>
  </si>
  <si>
    <t>Dividende unique</t>
  </si>
  <si>
    <t>Date de versement du dividende</t>
  </si>
  <si>
    <t>Spécification du contrat</t>
  </si>
  <si>
    <t>Spécification de l'envrionnement de marché</t>
  </si>
  <si>
    <t>Date de Maturité</t>
  </si>
  <si>
    <t>Spécification des paramètres de pricing</t>
  </si>
  <si>
    <t>INPUT</t>
  </si>
  <si>
    <t>Taux d'interet (r)</t>
  </si>
  <si>
    <t>Graphique (Allonge drastiquement l'exeuction)</t>
  </si>
  <si>
    <t>OUTPUT</t>
  </si>
  <si>
    <t>Call</t>
  </si>
  <si>
    <t>TrinomialPrice</t>
  </si>
  <si>
    <t>BlackScholesPrice</t>
  </si>
  <si>
    <t>Max steps</t>
  </si>
  <si>
    <t>Strike</t>
  </si>
  <si>
    <t>European</t>
  </si>
  <si>
    <t>Tree Pruning</t>
  </si>
  <si>
    <t>Trinomial - Black_Scholes</t>
  </si>
  <si>
    <t>Graphique de l'Arbre</t>
  </si>
  <si>
    <t>Nb Steps (Max = 995)</t>
  </si>
  <si>
    <t>Pricing Trinomial (Python)</t>
  </si>
  <si>
    <t>Pricing Black &amp; Scholes (Python)</t>
  </si>
  <si>
    <t>Delta</t>
  </si>
  <si>
    <t>Gamma</t>
  </si>
  <si>
    <t>Vega</t>
  </si>
  <si>
    <t>Rho</t>
  </si>
  <si>
    <t>Theta</t>
  </si>
  <si>
    <t>Greques</t>
  </si>
  <si>
    <t>Temps d'Execution :</t>
  </si>
  <si>
    <t>Pricing Trinomial (VBA)</t>
  </si>
  <si>
    <t>Volatilité implicite (σ)</t>
  </si>
  <si>
    <t>Niveau actuel de l'action (St)</t>
  </si>
  <si>
    <t>Prix d'Exercice (K)</t>
  </si>
  <si>
    <t xml:space="preserve">Limite supérieure d'erreur : </t>
  </si>
  <si>
    <t>Time to Expiry</t>
  </si>
  <si>
    <t>Exercice</t>
  </si>
  <si>
    <t>MACRO</t>
  </si>
  <si>
    <t>Convergence_NbSteps</t>
  </si>
  <si>
    <t>Convergence_Strike</t>
  </si>
  <si>
    <t>NbSteps</t>
  </si>
  <si>
    <t>(Trinomial - Black_Scholes) x NbSteps</t>
  </si>
  <si>
    <t>Level Pruning</t>
  </si>
  <si>
    <t>Trinomial Slope</t>
  </si>
  <si>
    <t>BS Slope</t>
  </si>
  <si>
    <t>Sous-jacent</t>
  </si>
  <si>
    <t>4.494511 €</t>
  </si>
  <si>
    <t>Oui</t>
  </si>
  <si>
    <t>4.537057 €</t>
  </si>
  <si>
    <t>Nombre de pas préconisé en fonction de la précision souhaitée</t>
  </si>
  <si>
    <t>Précision (Gap)</t>
  </si>
  <si>
    <t>Nombre de pas 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</si>
</sst>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7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3" fillId="0" borderId="7" xfId="0" applyFont="1" applyBorder="1"/>
    <xf numFmtId="0" fontId="3" fillId="0" borderId="7" xfId="0" applyFont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5" fontId="3" fillId="0" borderId="7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7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49" fontId="0" fillId="0" borderId="8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10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0" fillId="9" borderId="0" xfId="0" applyFill="1"/>
    <xf numFmtId="0" fontId="0" fillId="0" borderId="5" xfId="0" applyBorder="1" applyAlignment="1">
      <alignment vertical="center" wrapText="1"/>
    </xf>
    <xf numFmtId="2" fontId="3" fillId="0" borderId="0" xfId="0" applyNumberFormat="1" applyFont="1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164" fontId="0" fillId="0" borderId="7" xfId="0" applyNumberFormat="1" applyBorder="1"/>
    <xf numFmtId="165" fontId="0" fillId="0" borderId="2" xfId="0" applyNumberFormat="1" applyBorder="1" applyAlignment="1">
      <alignment horizontal="center" vertical="center"/>
    </xf>
    <xf numFmtId="14" fontId="3" fillId="0" borderId="0" xfId="0" applyNumberFormat="1" applyFont="1"/>
    <xf numFmtId="14" fontId="3" fillId="0" borderId="2" xfId="0" applyNumberFormat="1" applyFont="1" applyBorder="1"/>
    <xf numFmtId="0" fontId="0" fillId="6" borderId="7" xfId="0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10" fontId="3" fillId="0" borderId="2" xfId="0" applyNumberFormat="1" applyFont="1" applyBorder="1"/>
    <xf numFmtId="1" fontId="3" fillId="0" borderId="7" xfId="0" applyNumberFormat="1" applyFont="1" applyBorder="1"/>
    <xf numFmtId="0" fontId="1" fillId="7" borderId="12" xfId="0" applyFont="1" applyFill="1" applyBorder="1" applyAlignment="1">
      <alignment horizontal="center" vertical="center" textRotation="255"/>
    </xf>
    <xf numFmtId="0" fontId="1" fillId="7" borderId="13" xfId="0" applyFont="1" applyFill="1" applyBorder="1" applyAlignment="1">
      <alignment horizontal="center" vertical="center" textRotation="255"/>
    </xf>
    <xf numFmtId="0" fontId="1" fillId="7" borderId="14" xfId="0" applyFont="1" applyFill="1" applyBorder="1" applyAlignment="1">
      <alignment horizontal="center" vertical="center" textRotation="255"/>
    </xf>
    <xf numFmtId="0" fontId="1" fillId="2" borderId="2" xfId="0" applyFont="1" applyFill="1" applyBorder="1" applyAlignment="1">
      <alignment horizontal="center" vertical="center" textRotation="255"/>
    </xf>
    <xf numFmtId="0" fontId="1" fillId="2" borderId="0" xfId="0" applyFont="1" applyFill="1" applyAlignment="1">
      <alignment horizontal="center" vertical="center" textRotation="255"/>
    </xf>
    <xf numFmtId="0" fontId="1" fillId="2" borderId="7" xfId="0" applyFont="1" applyFill="1" applyBorder="1" applyAlignment="1">
      <alignment horizontal="center" vertical="center" textRotation="255"/>
    </xf>
    <xf numFmtId="0" fontId="4" fillId="3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 vertical="center" textRotation="255"/>
    </xf>
    <xf numFmtId="0" fontId="1" fillId="5" borderId="13" xfId="0" applyFont="1" applyFill="1" applyBorder="1" applyAlignment="1">
      <alignment horizontal="center" vertical="center" textRotation="255"/>
    </xf>
    <xf numFmtId="0" fontId="1" fillId="5" borderId="14" xfId="0" applyFont="1" applyFill="1" applyBorder="1" applyAlignment="1">
      <alignment horizontal="center" vertical="center" textRotation="255"/>
    </xf>
    <xf numFmtId="0" fontId="0" fillId="9" borderId="0" xfId="0" applyFill="1" applyAlignment="1">
      <alignment horizont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49" fontId="5" fillId="0" borderId="3" xfId="0" applyNumberFormat="1" applyFont="1" applyBorder="1" applyAlignment="1">
      <alignment horizontal="center" vertical="center" wrapText="1"/>
    </xf>
    <xf numFmtId="49" fontId="5" fillId="0" borderId="5" xfId="0" applyNumberFormat="1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Normal" xfId="0" builtinId="0"/>
    <cellStyle name="Pourcentage 2" xfId="1" xr:uid="{B3B003B7-D305-4C7D-B798-E698501E4A1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</a:t>
            </a:r>
            <a:r>
              <a:rPr lang="fr-FR" baseline="0"/>
              <a:t> du modèle Trinomiale vers Black &amp; Scholes en fonction du Nombre de Pas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8233391448993607E-2"/>
          <c:y val="8.0231775423315999E-2"/>
          <c:w val="0.9322907485972578"/>
          <c:h val="0.89597341385529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Convergence_NbSteps!$D$1</c:f>
              <c:strCache>
                <c:ptCount val="1"/>
                <c:pt idx="0">
                  <c:v>(Trinomial - Black_Scholes) x NbSteps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yVal>
            <c:numRef>
              <c:f>Convergence_NbSteps!$D$2:$D$504</c:f>
              <c:numCache>
                <c:formatCode>General</c:formatCode>
                <c:ptCount val="503"/>
                <c:pt idx="0">
                  <c:v>0.31264407678791262</c:v>
                </c:pt>
                <c:pt idx="1">
                  <c:v>0.93824490475344291</c:v>
                </c:pt>
                <c:pt idx="2">
                  <c:v>1.1121467537929606</c:v>
                </c:pt>
                <c:pt idx="3">
                  <c:v>1.0026688283938832</c:v>
                </c:pt>
                <c:pt idx="4">
                  <c:v>0.72211276514714484</c:v>
                </c:pt>
                <c:pt idx="5">
                  <c:v>0.32848483527115846</c:v>
                </c:pt>
                <c:pt idx="6">
                  <c:v>-0.1470747175955136</c:v>
                </c:pt>
                <c:pt idx="7">
                  <c:v>-0.68608456453019073</c:v>
                </c:pt>
                <c:pt idx="8">
                  <c:v>-1.2764307928164733</c:v>
                </c:pt>
                <c:pt idx="9">
                  <c:v>-1.9095478084855433</c:v>
                </c:pt>
                <c:pt idx="10">
                  <c:v>-1.7434122306077731</c:v>
                </c:pt>
                <c:pt idx="11">
                  <c:v>-1.2647456908799342</c:v>
                </c:pt>
                <c:pt idx="12">
                  <c:v>-0.84068159299822565</c:v>
                </c:pt>
                <c:pt idx="13">
                  <c:v>-0.46806915146276751</c:v>
                </c:pt>
                <c:pt idx="14">
                  <c:v>-0.14372288209770545</c:v>
                </c:pt>
                <c:pt idx="15">
                  <c:v>0.13542786048098776</c:v>
                </c:pt>
                <c:pt idx="16">
                  <c:v>0.37227117334197057</c:v>
                </c:pt>
                <c:pt idx="17">
                  <c:v>0.56948743154424974</c:v>
                </c:pt>
                <c:pt idx="18">
                  <c:v>0.72954615325593419</c:v>
                </c:pt>
                <c:pt idx="19">
                  <c:v>0.85471398004719035</c:v>
                </c:pt>
                <c:pt idx="20">
                  <c:v>0.94706787229871825</c:v>
                </c:pt>
                <c:pt idx="21">
                  <c:v>1.008510322016372</c:v>
                </c:pt>
                <c:pt idx="22">
                  <c:v>1.0407848683832617</c:v>
                </c:pt>
                <c:pt idx="23">
                  <c:v>1.0454910258848784</c:v>
                </c:pt>
                <c:pt idx="24">
                  <c:v>1.0240981960013995</c:v>
                </c:pt>
                <c:pt idx="25">
                  <c:v>0.97795839119990191</c:v>
                </c:pt>
                <c:pt idx="26">
                  <c:v>0.90831774070497229</c:v>
                </c:pt>
                <c:pt idx="27">
                  <c:v>0.81632682323032668</c:v>
                </c:pt>
                <c:pt idx="28">
                  <c:v>0.70304990810677648</c:v>
                </c:pt>
                <c:pt idx="29">
                  <c:v>0.5694732018026194</c:v>
                </c:pt>
                <c:pt idx="30">
                  <c:v>0.41651219969483133</c:v>
                </c:pt>
                <c:pt idx="31">
                  <c:v>0.24501823947795742</c:v>
                </c:pt>
                <c:pt idx="32">
                  <c:v>5.5784345864415386E-2</c:v>
                </c:pt>
                <c:pt idx="33">
                  <c:v>-0.1504495519168163</c:v>
                </c:pt>
                <c:pt idx="34">
                  <c:v>-0.37299195688246023</c:v>
                </c:pt>
                <c:pt idx="35">
                  <c:v>-0.61119563034167612</c:v>
                </c:pt>
                <c:pt idx="36">
                  <c:v>-0.86445385010456821</c:v>
                </c:pt>
                <c:pt idx="37">
                  <c:v>-1.132197050471083</c:v>
                </c:pt>
                <c:pt idx="38">
                  <c:v>-1.4138897998216189</c:v>
                </c:pt>
                <c:pt idx="39">
                  <c:v>-1.7090280771736133</c:v>
                </c:pt>
                <c:pt idx="40">
                  <c:v>-2.0171368135541385</c:v>
                </c:pt>
                <c:pt idx="41">
                  <c:v>-1.8659366292281856</c:v>
                </c:pt>
                <c:pt idx="42">
                  <c:v>-1.5975237721610496</c:v>
                </c:pt>
                <c:pt idx="43">
                  <c:v>-1.3440196562491096</c:v>
                </c:pt>
                <c:pt idx="44">
                  <c:v>-1.1051043540704697</c:v>
                </c:pt>
                <c:pt idx="45">
                  <c:v>-0.88046397817677224</c:v>
                </c:pt>
                <c:pt idx="46">
                  <c:v>-0.66979115013955948</c:v>
                </c:pt>
                <c:pt idx="47">
                  <c:v>-0.47278533578013082</c:v>
                </c:pt>
                <c:pt idx="48">
                  <c:v>-0.28915307215905361</c:v>
                </c:pt>
                <c:pt idx="49">
                  <c:v>-0.11860810695756285</c:v>
                </c:pt>
                <c:pt idx="50">
                  <c:v>3.9128533649038566E-2</c:v>
                </c:pt>
                <c:pt idx="51">
                  <c:v>0.18432853368951285</c:v>
                </c:pt>
                <c:pt idx="52">
                  <c:v>0.31725632216084865</c:v>
                </c:pt>
                <c:pt idx="53">
                  <c:v>0.4381691441569604</c:v>
                </c:pt>
                <c:pt idx="54">
                  <c:v>0.54731716055591573</c:v>
                </c:pt>
                <c:pt idx="55">
                  <c:v>0.64494357046550732</c:v>
                </c:pt>
                <c:pt idx="56">
                  <c:v>0.73128475072351051</c:v>
                </c:pt>
                <c:pt idx="57">
                  <c:v>0.80657040835241389</c:v>
                </c:pt>
                <c:pt idx="58">
                  <c:v>0.87102374235990965</c:v>
                </c:pt>
                <c:pt idx="59">
                  <c:v>0.92486161259826005</c:v>
                </c:pt>
                <c:pt idx="60">
                  <c:v>0.96829471224739461</c:v>
                </c:pt>
                <c:pt idx="61">
                  <c:v>1.001527743123642</c:v>
                </c:pt>
                <c:pt idx="62">
                  <c:v>1.0247595913820833</c:v>
                </c:pt>
                <c:pt idx="63">
                  <c:v>1.0381835031714104</c:v>
                </c:pt>
                <c:pt idx="64">
                  <c:v>1.0419872582062251</c:v>
                </c:pt>
                <c:pt idx="65">
                  <c:v>1.0363533416139923</c:v>
                </c:pt>
                <c:pt idx="66">
                  <c:v>1.0214591124351289</c:v>
                </c:pt>
                <c:pt idx="67">
                  <c:v>0.99747696908111294</c:v>
                </c:pt>
                <c:pt idx="68">
                  <c:v>0.96457451049702403</c:v>
                </c:pt>
                <c:pt idx="69">
                  <c:v>0.92291469371440726</c:v>
                </c:pt>
                <c:pt idx="70">
                  <c:v>0.87265598685091383</c:v>
                </c:pt>
                <c:pt idx="71">
                  <c:v>0.81395251782372213</c:v>
                </c:pt>
                <c:pt idx="72">
                  <c:v>0.7469542184428839</c:v>
                </c:pt>
                <c:pt idx="73">
                  <c:v>0.67180696404446572</c:v>
                </c:pt>
                <c:pt idx="74">
                  <c:v>0.58865270894981059</c:v>
                </c:pt>
                <c:pt idx="75">
                  <c:v>0.49762961663736149</c:v>
                </c:pt>
                <c:pt idx="76">
                  <c:v>0.39887218620629028</c:v>
                </c:pt>
                <c:pt idx="77">
                  <c:v>0.29251137436685148</c:v>
                </c:pt>
                <c:pt idx="78">
                  <c:v>0.17867471231169496</c:v>
                </c:pt>
                <c:pt idx="79">
                  <c:v>5.7486420371049007E-2</c:v>
                </c:pt>
                <c:pt idx="80">
                  <c:v>-7.0932483942792501E-2</c:v>
                </c:pt>
                <c:pt idx="81">
                  <c:v>-0.20646408004794914</c:v>
                </c:pt>
                <c:pt idx="82">
                  <c:v>-0.34899344249850461</c:v>
                </c:pt>
                <c:pt idx="83">
                  <c:v>-0.49840854350356167</c:v>
                </c:pt>
                <c:pt idx="84">
                  <c:v>-0.65460015873236799</c:v>
                </c:pt>
                <c:pt idx="85">
                  <c:v>-0.81746177650131457</c:v>
                </c:pt>
                <c:pt idx="86">
                  <c:v>-0.98688951022684712</c:v>
                </c:pt>
                <c:pt idx="87">
                  <c:v>-1.1627820146901726</c:v>
                </c:pt>
                <c:pt idx="88">
                  <c:v>-1.3450404045116491</c:v>
                </c:pt>
                <c:pt idx="89">
                  <c:v>-1.5335681766895082</c:v>
                </c:pt>
                <c:pt idx="90">
                  <c:v>-1.7282711346040633</c:v>
                </c:pt>
                <c:pt idx="91">
                  <c:v>-1.9290573166500202</c:v>
                </c:pt>
                <c:pt idx="92">
                  <c:v>-2.0318549050843071</c:v>
                </c:pt>
                <c:pt idx="93">
                  <c:v>-1.841806002782775</c:v>
                </c:pt>
                <c:pt idx="94">
                  <c:v>-1.6585010567701763</c:v>
                </c:pt>
                <c:pt idx="95">
                  <c:v>-1.481867404347696</c:v>
                </c:pt>
                <c:pt idx="96">
                  <c:v>-1.3118332609506709</c:v>
                </c:pt>
                <c:pt idx="97">
                  <c:v>-1.1483277283922924</c:v>
                </c:pt>
                <c:pt idx="98">
                  <c:v>-0.99128079864228358</c:v>
                </c:pt>
                <c:pt idx="99">
                  <c:v>-0.84062335774621744</c:v>
                </c:pt>
                <c:pt idx="100">
                  <c:v>-0.69628718684793078</c:v>
                </c:pt>
                <c:pt idx="101">
                  <c:v>-0.55820496261022789</c:v>
                </c:pt>
                <c:pt idx="102">
                  <c:v>-0.42631025483475327</c:v>
                </c:pt>
                <c:pt idx="103">
                  <c:v>-0.30053752390358568</c:v>
                </c:pt>
                <c:pt idx="104">
                  <c:v>-0.18082211783389646</c:v>
                </c:pt>
                <c:pt idx="105">
                  <c:v>-6.7100265992909414E-2</c:v>
                </c:pt>
                <c:pt idx="106">
                  <c:v>4.0690925744397255E-2</c:v>
                </c:pt>
                <c:pt idx="107">
                  <c:v>0.14261348176814082</c:v>
                </c:pt>
                <c:pt idx="108">
                  <c:v>0.23872856385491392</c:v>
                </c:pt>
                <c:pt idx="109">
                  <c:v>0.32909647883052173</c:v>
                </c:pt>
                <c:pt idx="110">
                  <c:v>0.41377668757881825</c:v>
                </c:pt>
                <c:pt idx="111">
                  <c:v>0.49282781285471344</c:v>
                </c:pt>
                <c:pt idx="112">
                  <c:v>0.56630764868100147</c:v>
                </c:pt>
                <c:pt idx="113">
                  <c:v>0.63427317065423772</c:v>
                </c:pt>
                <c:pt idx="114">
                  <c:v>0.69678054479836327</c:v>
                </c:pt>
                <c:pt idx="115">
                  <c:v>0.75388513788352185</c:v>
                </c:pt>
                <c:pt idx="116">
                  <c:v>0.80564152780652343</c:v>
                </c:pt>
                <c:pt idx="117">
                  <c:v>0.8521035138081956</c:v>
                </c:pt>
                <c:pt idx="118">
                  <c:v>0.89332412721408794</c:v>
                </c:pt>
                <c:pt idx="119">
                  <c:v>0.92935564156892525</c:v>
                </c:pt>
                <c:pt idx="120">
                  <c:v>0.9602495844370651</c:v>
                </c:pt>
                <c:pt idx="121">
                  <c:v>0.98605674642847596</c:v>
                </c:pt>
                <c:pt idx="122">
                  <c:v>1.0068271937952087</c:v>
                </c:pt>
                <c:pt idx="123">
                  <c:v>1.0226102774440626</c:v>
                </c:pt>
                <c:pt idx="124">
                  <c:v>1.0334546454976445</c:v>
                </c:pt>
                <c:pt idx="125">
                  <c:v>1.0394082527646624</c:v>
                </c:pt>
                <c:pt idx="126">
                  <c:v>1.0405183710076722</c:v>
                </c:pt>
                <c:pt idx="127">
                  <c:v>1.0368316015524215</c:v>
                </c:pt>
                <c:pt idx="128">
                  <c:v>1.0283938838126927</c:v>
                </c:pt>
                <c:pt idx="129">
                  <c:v>1.015250506492329</c:v>
                </c:pt>
                <c:pt idx="130">
                  <c:v>0.99744611854237775</c:v>
                </c:pt>
                <c:pt idx="131">
                  <c:v>0.9750247383257431</c:v>
                </c:pt>
                <c:pt idx="132">
                  <c:v>0.9480297647206033</c:v>
                </c:pt>
                <c:pt idx="133">
                  <c:v>0.91650398668874367</c:v>
                </c:pt>
                <c:pt idx="134">
                  <c:v>0.88048959357649004</c:v>
                </c:pt>
                <c:pt idx="135">
                  <c:v>0.84002818428571402</c:v>
                </c:pt>
                <c:pt idx="136">
                  <c:v>0.79516077803552054</c:v>
                </c:pt>
                <c:pt idx="137">
                  <c:v>0.74592782319273887</c:v>
                </c:pt>
                <c:pt idx="138">
                  <c:v>0.69236920651218892</c:v>
                </c:pt>
                <c:pt idx="139">
                  <c:v>0.63452426319763333</c:v>
                </c:pt>
                <c:pt idx="140">
                  <c:v>0.57243178559572172</c:v>
                </c:pt>
                <c:pt idx="141">
                  <c:v>0.50613003219289787</c:v>
                </c:pt>
                <c:pt idx="142">
                  <c:v>0.43565673684892836</c:v>
                </c:pt>
                <c:pt idx="143">
                  <c:v>0.36104911736008205</c:v>
                </c:pt>
                <c:pt idx="144">
                  <c:v>0.28234388454694948</c:v>
                </c:pt>
                <c:pt idx="145">
                  <c:v>0.1995772492668646</c:v>
                </c:pt>
                <c:pt idx="146">
                  <c:v>0.11278493264141609</c:v>
                </c:pt>
                <c:pt idx="147">
                  <c:v>2.2002173818133741E-2</c:v>
                </c:pt>
                <c:pt idx="148">
                  <c:v>-7.2736263295775316E-2</c:v>
                </c:pt>
                <c:pt idx="149">
                  <c:v>-0.17139608086056413</c:v>
                </c:pt>
                <c:pt idx="150">
                  <c:v>-0.27394343870084192</c:v>
                </c:pt>
                <c:pt idx="151">
                  <c:v>-0.38034494803667229</c:v>
                </c:pt>
                <c:pt idx="152">
                  <c:v>-0.49056766390501494</c:v>
                </c:pt>
                <c:pt idx="153">
                  <c:v>-0.60457907619242768</c:v>
                </c:pt>
                <c:pt idx="154">
                  <c:v>-0.72234710402651725</c:v>
                </c:pt>
                <c:pt idx="155">
                  <c:v>-0.84384008755008111</c:v>
                </c:pt>
                <c:pt idx="156">
                  <c:v>-0.96902678198160785</c:v>
                </c:pt>
                <c:pt idx="157">
                  <c:v>-1.097876349009093</c:v>
                </c:pt>
                <c:pt idx="158">
                  <c:v>-1.2303583524877268</c:v>
                </c:pt>
                <c:pt idx="159">
                  <c:v>-1.3664427490348885</c:v>
                </c:pt>
                <c:pt idx="160">
                  <c:v>-1.5060998830123813</c:v>
                </c:pt>
                <c:pt idx="161">
                  <c:v>-1.6493004812926433</c:v>
                </c:pt>
                <c:pt idx="162">
                  <c:v>-1.796015643679401</c:v>
                </c:pt>
                <c:pt idx="163">
                  <c:v>-1.9462168404526885</c:v>
                </c:pt>
                <c:pt idx="164">
                  <c:v>-2.0620526997190813</c:v>
                </c:pt>
                <c:pt idx="165">
                  <c:v>-1.9168125538300416</c:v>
                </c:pt>
                <c:pt idx="166">
                  <c:v>-1.7753616646916219</c:v>
                </c:pt>
                <c:pt idx="167">
                  <c:v>-1.6376757517131963</c:v>
                </c:pt>
                <c:pt idx="168">
                  <c:v>-1.5037307268401614</c:v>
                </c:pt>
                <c:pt idx="169">
                  <c:v>-1.3735026933434025</c:v>
                </c:pt>
                <c:pt idx="170">
                  <c:v>-1.2469679466829353</c:v>
                </c:pt>
                <c:pt idx="171">
                  <c:v>-1.1241029722378784</c:v>
                </c:pt>
                <c:pt idx="172">
                  <c:v>-1.004884446618818</c:v>
                </c:pt>
                <c:pt idx="173">
                  <c:v>-0.88928923720508202</c:v>
                </c:pt>
                <c:pt idx="174">
                  <c:v>-0.77729439943061696</c:v>
                </c:pt>
                <c:pt idx="175">
                  <c:v>-0.66887717732463159</c:v>
                </c:pt>
                <c:pt idx="176">
                  <c:v>-0.5640150047571133</c:v>
                </c:pt>
                <c:pt idx="177">
                  <c:v>-0.46268550117404672</c:v>
                </c:pt>
                <c:pt idx="178">
                  <c:v>-0.36486647200462219</c:v>
                </c:pt>
                <c:pt idx="179">
                  <c:v>-0.2705359090990278</c:v>
                </c:pt>
                <c:pt idx="180">
                  <c:v>-0.17967198744963753</c:v>
                </c:pt>
                <c:pt idx="181">
                  <c:v>-9.2253066831379016E-2</c:v>
                </c:pt>
                <c:pt idx="182">
                  <c:v>-8.2576879210831677E-3</c:v>
                </c:pt>
                <c:pt idx="183">
                  <c:v>7.2335426360261579E-2</c:v>
                </c:pt>
                <c:pt idx="184">
                  <c:v>0.14954737346827063</c:v>
                </c:pt>
                <c:pt idx="185">
                  <c:v>0.22339907214270305</c:v>
                </c:pt>
                <c:pt idx="186">
                  <c:v>0.29391126344357321</c:v>
                </c:pt>
                <c:pt idx="187">
                  <c:v>0.36110451123299825</c:v>
                </c:pt>
                <c:pt idx="188">
                  <c:v>0.42499920575041639</c:v>
                </c:pt>
                <c:pt idx="189">
                  <c:v>0.48561556043774878</c:v>
                </c:pt>
                <c:pt idx="190">
                  <c:v>0.54297361887717344</c:v>
                </c:pt>
                <c:pt idx="191">
                  <c:v>0.59709325122616974</c:v>
                </c:pt>
                <c:pt idx="192">
                  <c:v>0.64799415851522912</c:v>
                </c:pt>
                <c:pt idx="193">
                  <c:v>0.69569587312032688</c:v>
                </c:pt>
                <c:pt idx="194">
                  <c:v>0.74021775982658244</c:v>
                </c:pt>
                <c:pt idx="195">
                  <c:v>0.78157901663465879</c:v>
                </c:pt>
                <c:pt idx="196">
                  <c:v>0.81979867668615114</c:v>
                </c:pt>
                <c:pt idx="197">
                  <c:v>0.85489561109744372</c:v>
                </c:pt>
                <c:pt idx="198">
                  <c:v>0.886888528046895</c:v>
                </c:pt>
                <c:pt idx="199">
                  <c:v>0.91579597487871922</c:v>
                </c:pt>
                <c:pt idx="200">
                  <c:v>0.94163634023361986</c:v>
                </c:pt>
                <c:pt idx="201">
                  <c:v>0.96442785346164683</c:v>
                </c:pt>
                <c:pt idx="202">
                  <c:v>0.98418858962836531</c:v>
                </c:pt>
                <c:pt idx="203">
                  <c:v>1.0009364676939576</c:v>
                </c:pt>
                <c:pt idx="204">
                  <c:v>1.0146892525117579</c:v>
                </c:pt>
                <c:pt idx="205">
                  <c:v>1.025464556066213</c:v>
                </c:pt>
                <c:pt idx="206">
                  <c:v>1.0332798413789783</c:v>
                </c:pt>
                <c:pt idx="207">
                  <c:v>1.0381524200866465</c:v>
                </c:pt>
                <c:pt idx="208">
                  <c:v>1.0400994547934852</c:v>
                </c:pt>
                <c:pt idx="209">
                  <c:v>1.0391379648398313</c:v>
                </c:pt>
                <c:pt idx="210">
                  <c:v>1.0352848201090765</c:v>
                </c:pt>
                <c:pt idx="211">
                  <c:v>1.0285567492167154</c:v>
                </c:pt>
                <c:pt idx="212">
                  <c:v>1.018970336744176</c:v>
                </c:pt>
                <c:pt idx="213">
                  <c:v>1.0065420256181046</c:v>
                </c:pt>
                <c:pt idx="214">
                  <c:v>0.99128811949422246</c:v>
                </c:pt>
                <c:pt idx="215">
                  <c:v>0.97322478202559637</c:v>
                </c:pt>
                <c:pt idx="216">
                  <c:v>0.95236804190828028</c:v>
                </c:pt>
                <c:pt idx="217">
                  <c:v>0.92873378885712654</c:v>
                </c:pt>
                <c:pt idx="218">
                  <c:v>0.90233778116987118</c:v>
                </c:pt>
                <c:pt idx="219">
                  <c:v>0.87319563956693713</c:v>
                </c:pt>
                <c:pt idx="220">
                  <c:v>0.84132285595059653</c:v>
                </c:pt>
                <c:pt idx="221">
                  <c:v>0.80673479090838462</c:v>
                </c:pt>
                <c:pt idx="222">
                  <c:v>0.76944667383961907</c:v>
                </c:pt>
                <c:pt idx="223">
                  <c:v>0.72947360796302974</c:v>
                </c:pt>
                <c:pt idx="224">
                  <c:v>0.68683056735658887</c:v>
                </c:pt>
                <c:pt idx="225">
                  <c:v>0.64153240185215488</c:v>
                </c:pt>
                <c:pt idx="226">
                  <c:v>0.59359383521033759</c:v>
                </c:pt>
                <c:pt idx="227">
                  <c:v>0.54302947137266244</c:v>
                </c:pt>
                <c:pt idx="228">
                  <c:v>0.48985378771167287</c:v>
                </c:pt>
                <c:pt idx="229">
                  <c:v>0.43408114409288601</c:v>
                </c:pt>
                <c:pt idx="230">
                  <c:v>0.3757257786171655</c:v>
                </c:pt>
                <c:pt idx="231">
                  <c:v>0.31480181246284644</c:v>
                </c:pt>
                <c:pt idx="232">
                  <c:v>0.25132324868729761</c:v>
                </c:pt>
                <c:pt idx="233">
                  <c:v>0.18530397390941644</c:v>
                </c:pt>
                <c:pt idx="234">
                  <c:v>0.11675776242064728</c:v>
                </c:pt>
                <c:pt idx="235">
                  <c:v>4.5698270135403618E-2</c:v>
                </c:pt>
                <c:pt idx="236">
                  <c:v>-2.7860955275638588E-2</c:v>
                </c:pt>
                <c:pt idx="237">
                  <c:v>-0.10390647973682832</c:v>
                </c:pt>
                <c:pt idx="238">
                  <c:v>-0.1824249801235851</c:v>
                </c:pt>
                <c:pt idx="239">
                  <c:v>-0.2634032408804643</c:v>
                </c:pt>
                <c:pt idx="240">
                  <c:v>-0.34682815523876087</c:v>
                </c:pt>
                <c:pt idx="241">
                  <c:v>-0.43268672417112697</c:v>
                </c:pt>
                <c:pt idx="242">
                  <c:v>-0.52096605507139593</c:v>
                </c:pt>
                <c:pt idx="243">
                  <c:v>-0.61165335604281168</c:v>
                </c:pt>
                <c:pt idx="244">
                  <c:v>-0.70473594726527367</c:v>
                </c:pt>
                <c:pt idx="245">
                  <c:v>-0.80020124215933919</c:v>
                </c:pt>
                <c:pt idx="246">
                  <c:v>-0.89803676441809976</c:v>
                </c:pt>
                <c:pt idx="247">
                  <c:v>-0.99823013212616019</c:v>
                </c:pt>
                <c:pt idx="248">
                  <c:v>-1.1007690662120515</c:v>
                </c:pt>
                <c:pt idx="249">
                  <c:v>-1.2056413868670735</c:v>
                </c:pt>
                <c:pt idx="250">
                  <c:v>-1.3128350104404198</c:v>
                </c:pt>
                <c:pt idx="251">
                  <c:v>-1.4223379509132812</c:v>
                </c:pt>
                <c:pt idx="252">
                  <c:v>-1.5341383170653566</c:v>
                </c:pt>
                <c:pt idx="253">
                  <c:v>-1.6482243133762964</c:v>
                </c:pt>
                <c:pt idx="254">
                  <c:v>-1.7645842394570188</c:v>
                </c:pt>
                <c:pt idx="255">
                  <c:v>-1.8832064845662444</c:v>
                </c:pt>
                <c:pt idx="256">
                  <c:v>-2.0040795323031384</c:v>
                </c:pt>
                <c:pt idx="257">
                  <c:v>-2.0345382170865278</c:v>
                </c:pt>
                <c:pt idx="258">
                  <c:v>-1.9179968674728824</c:v>
                </c:pt>
                <c:pt idx="259">
                  <c:v>-1.803869929831734</c:v>
                </c:pt>
                <c:pt idx="260">
                  <c:v>-1.692147193283871</c:v>
                </c:pt>
                <c:pt idx="261">
                  <c:v>-1.5828185084839284</c:v>
                </c:pt>
                <c:pt idx="262">
                  <c:v>-1.4758737756681031</c:v>
                </c:pt>
                <c:pt idx="263">
                  <c:v>-1.3713029558376988</c:v>
                </c:pt>
                <c:pt idx="264">
                  <c:v>-1.2690960625153958</c:v>
                </c:pt>
                <c:pt idx="265">
                  <c:v>-1.1692431650659199</c:v>
                </c:pt>
                <c:pt idx="266">
                  <c:v>-1.0717343880495278</c:v>
                </c:pt>
                <c:pt idx="267">
                  <c:v>-0.97655990955153982</c:v>
                </c:pt>
                <c:pt idx="268">
                  <c:v>-0.88370996608815489</c:v>
                </c:pt>
                <c:pt idx="269">
                  <c:v>-0.79317484478824696</c:v>
                </c:pt>
                <c:pt idx="270">
                  <c:v>-0.70494488804547384</c:v>
                </c:pt>
                <c:pt idx="271">
                  <c:v>-0.61901049487227056</c:v>
                </c:pt>
                <c:pt idx="272">
                  <c:v>-0.53536211534821199</c:v>
                </c:pt>
                <c:pt idx="273">
                  <c:v>-0.45399025341746047</c:v>
                </c:pt>
                <c:pt idx="274">
                  <c:v>-0.37488546770978459</c:v>
                </c:pt>
                <c:pt idx="275">
                  <c:v>-0.29803837135583322</c:v>
                </c:pt>
                <c:pt idx="276">
                  <c:v>-0.22343962648337534</c:v>
                </c:pt>
                <c:pt idx="277">
                  <c:v>-0.15107995177003986</c:v>
                </c:pt>
                <c:pt idx="278">
                  <c:v>-8.095011821090381E-2</c:v>
                </c:pt>
                <c:pt idx="279">
                  <c:v>-1.3040945411262328E-2</c:v>
                </c:pt>
                <c:pt idx="280">
                  <c:v>5.2656688911998373E-2</c:v>
                </c:pt>
                <c:pt idx="281">
                  <c:v>0.11615186192202742</c:v>
                </c:pt>
                <c:pt idx="282">
                  <c:v>0.17745359277178085</c:v>
                </c:pt>
                <c:pt idx="283">
                  <c:v>0.23657085169603675</c:v>
                </c:pt>
                <c:pt idx="284">
                  <c:v>0.29351256229871225</c:v>
                </c:pt>
                <c:pt idx="285">
                  <c:v>0.3482875902757776</c:v>
                </c:pt>
                <c:pt idx="286">
                  <c:v>0.40090475373627665</c:v>
                </c:pt>
                <c:pt idx="287">
                  <c:v>0.45137282088759889</c:v>
                </c:pt>
                <c:pt idx="288">
                  <c:v>0.49970050746108452</c:v>
                </c:pt>
                <c:pt idx="289">
                  <c:v>0.54589648521427669</c:v>
                </c:pt>
                <c:pt idx="290">
                  <c:v>0.58996936848614823</c:v>
                </c:pt>
                <c:pt idx="291">
                  <c:v>0.63192772803399677</c:v>
                </c:pt>
                <c:pt idx="292">
                  <c:v>0.6717800837166914</c:v>
                </c:pt>
                <c:pt idx="293">
                  <c:v>0.70953490412841802</c:v>
                </c:pt>
                <c:pt idx="294">
                  <c:v>0.74520061680025229</c:v>
                </c:pt>
                <c:pt idx="295">
                  <c:v>0.77878559032640737</c:v>
                </c:pt>
                <c:pt idx="296">
                  <c:v>0.8102981549176258</c:v>
                </c:pt>
                <c:pt idx="297">
                  <c:v>0.83974658761253806</c:v>
                </c:pt>
                <c:pt idx="298">
                  <c:v>0.86713911848883196</c:v>
                </c:pt>
                <c:pt idx="299">
                  <c:v>0.89248393387482139</c:v>
                </c:pt>
                <c:pt idx="300">
                  <c:v>0.91578916865296822</c:v>
                </c:pt>
                <c:pt idx="301">
                  <c:v>0.93706291477236192</c:v>
                </c:pt>
                <c:pt idx="302">
                  <c:v>0.95631321626441146</c:v>
                </c:pt>
                <c:pt idx="303">
                  <c:v>0.97354806961000406</c:v>
                </c:pt>
                <c:pt idx="304">
                  <c:v>0.98877542936517848</c:v>
                </c:pt>
                <c:pt idx="305">
                  <c:v>1.0020031990696268</c:v>
                </c:pt>
                <c:pt idx="306">
                  <c:v>1.0132392437119977</c:v>
                </c:pt>
                <c:pt idx="307">
                  <c:v>1.0224913756806373</c:v>
                </c:pt>
                <c:pt idx="308">
                  <c:v>1.0297673706778996</c:v>
                </c:pt>
                <c:pt idx="309">
                  <c:v>1.0350749552481631</c:v>
                </c:pt>
                <c:pt idx="310">
                  <c:v>1.0384218090500239</c:v>
                </c:pt>
                <c:pt idx="311">
                  <c:v>1.0398155733614658</c:v>
                </c:pt>
                <c:pt idx="312">
                  <c:v>1.039263845519093</c:v>
                </c:pt>
                <c:pt idx="313">
                  <c:v>1.0367741745803567</c:v>
                </c:pt>
                <c:pt idx="314">
                  <c:v>1.0323540737222281</c:v>
                </c:pt>
                <c:pt idx="315">
                  <c:v>1.0260110041061026</c:v>
                </c:pt>
                <c:pt idx="316">
                  <c:v>1.0177523930934882</c:v>
                </c:pt>
                <c:pt idx="317">
                  <c:v>1.0075856202115183</c:v>
                </c:pt>
                <c:pt idx="318">
                  <c:v>0.9955180259210179</c:v>
                </c:pt>
                <c:pt idx="319">
                  <c:v>0.98155690764912151</c:v>
                </c:pt>
                <c:pt idx="320">
                  <c:v>0.96570952082766048</c:v>
                </c:pt>
                <c:pt idx="321">
                  <c:v>0.94798307998804709</c:v>
                </c:pt>
                <c:pt idx="322">
                  <c:v>0.92838476080457522</c:v>
                </c:pt>
                <c:pt idx="323">
                  <c:v>0.90692169719356386</c:v>
                </c:pt>
                <c:pt idx="324">
                  <c:v>0.88360097833359852</c:v>
                </c:pt>
                <c:pt idx="325">
                  <c:v>0.85842966049851377</c:v>
                </c:pt>
                <c:pt idx="326">
                  <c:v>0.83141475201654469</c:v>
                </c:pt>
                <c:pt idx="327">
                  <c:v>0.80256323121611928</c:v>
                </c:pt>
                <c:pt idx="328">
                  <c:v>0.77188202693487273</c:v>
                </c:pt>
                <c:pt idx="329">
                  <c:v>0.73937803799276836</c:v>
                </c:pt>
                <c:pt idx="330">
                  <c:v>0.70505811655734796</c:v>
                </c:pt>
                <c:pt idx="331">
                  <c:v>0.66892908129146278</c:v>
                </c:pt>
                <c:pt idx="332">
                  <c:v>0.63099771068241761</c:v>
                </c:pt>
                <c:pt idx="333">
                  <c:v>0.59127074405147084</c:v>
                </c:pt>
                <c:pt idx="334">
                  <c:v>0.54975488546187723</c:v>
                </c:pt>
                <c:pt idx="335">
                  <c:v>0.50645679759819018</c:v>
                </c:pt>
                <c:pt idx="336">
                  <c:v>0.46138310779843206</c:v>
                </c:pt>
                <c:pt idx="337">
                  <c:v>0.41454041082369208</c:v>
                </c:pt>
                <c:pt idx="338">
                  <c:v>0.36593525752068867</c:v>
                </c:pt>
                <c:pt idx="339">
                  <c:v>0.31557416193987109</c:v>
                </c:pt>
                <c:pt idx="340">
                  <c:v>0.26346360781389055</c:v>
                </c:pt>
                <c:pt idx="341">
                  <c:v>0.20961003972781533</c:v>
                </c:pt>
                <c:pt idx="342">
                  <c:v>0.15401986236051979</c:v>
                </c:pt>
                <c:pt idx="343">
                  <c:v>9.6699451657961788E-2</c:v>
                </c:pt>
                <c:pt idx="344">
                  <c:v>3.7655144411457009E-2</c:v>
                </c:pt>
                <c:pt idx="345">
                  <c:v>-2.3106758537695171E-2</c:v>
                </c:pt>
                <c:pt idx="346">
                  <c:v>-8.5579990919589122E-2</c:v>
                </c:pt>
                <c:pt idx="347">
                  <c:v>-0.14975831879436186</c:v>
                </c:pt>
                <c:pt idx="348">
                  <c:v>-0.21563554586225209</c:v>
                </c:pt>
                <c:pt idx="349">
                  <c:v>-0.2832055081497753</c:v>
                </c:pt>
                <c:pt idx="350">
                  <c:v>-0.35246207330303214</c:v>
                </c:pt>
                <c:pt idx="351">
                  <c:v>-0.42339915177217335</c:v>
                </c:pt>
                <c:pt idx="352">
                  <c:v>-0.49601067783385311</c:v>
                </c:pt>
                <c:pt idx="353">
                  <c:v>-0.57029062202020775</c:v>
                </c:pt>
                <c:pt idx="354">
                  <c:v>-0.64623299249073174</c:v>
                </c:pt>
                <c:pt idx="355">
                  <c:v>-0.72383182561695492</c:v>
                </c:pt>
                <c:pt idx="356">
                  <c:v>-0.80308118901489323</c:v>
                </c:pt>
                <c:pt idx="357">
                  <c:v>-0.88397518759235361</c:v>
                </c:pt>
                <c:pt idx="358">
                  <c:v>-0.96650795898155462</c:v>
                </c:pt>
                <c:pt idx="359">
                  <c:v>-1.0506736653625381</c:v>
                </c:pt>
                <c:pt idx="360">
                  <c:v>-1.136466507779696</c:v>
                </c:pt>
                <c:pt idx="361">
                  <c:v>-1.2238807153646754</c:v>
                </c:pt>
                <c:pt idx="362">
                  <c:v>-1.3129105529648939</c:v>
                </c:pt>
                <c:pt idx="363">
                  <c:v>-1.403550312547857</c:v>
                </c:pt>
                <c:pt idx="364">
                  <c:v>-1.4957943184976941</c:v>
                </c:pt>
                <c:pt idx="365">
                  <c:v>-1.5896369254663387</c:v>
                </c:pt>
                <c:pt idx="366">
                  <c:v>-1.6850725182412454</c:v>
                </c:pt>
                <c:pt idx="367">
                  <c:v>-1.7820955103315157</c:v>
                </c:pt>
                <c:pt idx="368">
                  <c:v>-1.8807003532595363</c:v>
                </c:pt>
                <c:pt idx="369">
                  <c:v>-1.9808815208742026</c:v>
                </c:pt>
                <c:pt idx="370">
                  <c:v>-2.0763225386766786</c:v>
                </c:pt>
                <c:pt idx="371">
                  <c:v>-1.9779874345434294</c:v>
                </c:pt>
                <c:pt idx="372">
                  <c:v>-1.8813262440220084</c:v>
                </c:pt>
                <c:pt idx="373">
                  <c:v>-1.7863339581196378</c:v>
                </c:pt>
                <c:pt idx="374">
                  <c:v>-1.6930055773577424</c:v>
                </c:pt>
                <c:pt idx="375">
                  <c:v>-1.6013361323418138</c:v>
                </c:pt>
                <c:pt idx="376">
                  <c:v>-1.5113206663195875</c:v>
                </c:pt>
                <c:pt idx="377">
                  <c:v>-1.4229542474988222</c:v>
                </c:pt>
                <c:pt idx="378">
                  <c:v>-1.3362319573966968</c:v>
                </c:pt>
                <c:pt idx="379">
                  <c:v>-1.2511489010721277</c:v>
                </c:pt>
                <c:pt idx="380">
                  <c:v>-1.1677002062948612</c:v>
                </c:pt>
                <c:pt idx="381">
                  <c:v>-1.0858810172946392</c:v>
                </c:pt>
                <c:pt idx="382">
                  <c:v>-1.005686494130595</c:v>
                </c:pt>
                <c:pt idx="383">
                  <c:v>-0.92711182577056661</c:v>
                </c:pt>
                <c:pt idx="384">
                  <c:v>-0.85015220959157922</c:v>
                </c:pt>
                <c:pt idx="385">
                  <c:v>-0.77480286740579274</c:v>
                </c:pt>
                <c:pt idx="386">
                  <c:v>-0.70105904516576878</c:v>
                </c:pt>
                <c:pt idx="387">
                  <c:v>-0.62891599819470301</c:v>
                </c:pt>
                <c:pt idx="388">
                  <c:v>-0.55836901129025041</c:v>
                </c:pt>
                <c:pt idx="389">
                  <c:v>-0.48941337997396417</c:v>
                </c:pt>
                <c:pt idx="390">
                  <c:v>-0.42204442255446661</c:v>
                </c:pt>
                <c:pt idx="391">
                  <c:v>-0.35625747539325658</c:v>
                </c:pt>
                <c:pt idx="392">
                  <c:v>-0.2920478964954123</c:v>
                </c:pt>
                <c:pt idx="393">
                  <c:v>-0.22941105936280692</c:v>
                </c:pt>
                <c:pt idx="394">
                  <c:v>-0.16834235611477233</c:v>
                </c:pt>
                <c:pt idx="395">
                  <c:v>-0.10883719968615679</c:v>
                </c:pt>
                <c:pt idx="396">
                  <c:v>-5.0891022252455898E-2</c:v>
                </c:pt>
                <c:pt idx="397">
                  <c:v>5.5007264744411088E-3</c:v>
                </c:pt>
                <c:pt idx="398">
                  <c:v>6.0342581981869259E-2</c:v>
                </c:pt>
                <c:pt idx="399">
                  <c:v>0.11363905617791659</c:v>
                </c:pt>
                <c:pt idx="400">
                  <c:v>0.16539464185099462</c:v>
                </c:pt>
                <c:pt idx="401">
                  <c:v>0.21561381531746093</c:v>
                </c:pt>
                <c:pt idx="402">
                  <c:v>0.264301040859098</c:v>
                </c:pt>
                <c:pt idx="403">
                  <c:v>0.31146075298778442</c:v>
                </c:pt>
                <c:pt idx="404">
                  <c:v>0.35709737749097137</c:v>
                </c:pt>
                <c:pt idx="405">
                  <c:v>0.40121531442221148</c:v>
                </c:pt>
                <c:pt idx="406">
                  <c:v>0.44381895374509561</c:v>
                </c:pt>
                <c:pt idx="407">
                  <c:v>0.48491266020020873</c:v>
                </c:pt>
                <c:pt idx="408">
                  <c:v>0.52450078451845528</c:v>
                </c:pt>
                <c:pt idx="409">
                  <c:v>0.56258766282667239</c:v>
                </c:pt>
                <c:pt idx="410">
                  <c:v>0.59917760697071643</c:v>
                </c:pt>
                <c:pt idx="411">
                  <c:v>0.63427491431322025</c:v>
                </c:pt>
                <c:pt idx="412">
                  <c:v>0.66788386384243204</c:v>
                </c:pt>
                <c:pt idx="413">
                  <c:v>0.70000872008965587</c:v>
                </c:pt>
                <c:pt idx="414">
                  <c:v>0.73065372378364302</c:v>
                </c:pt>
                <c:pt idx="415">
                  <c:v>0.75982310215042048</c:v>
                </c:pt>
                <c:pt idx="416">
                  <c:v>0.78752107115311354</c:v>
                </c:pt>
                <c:pt idx="417">
                  <c:v>0.81375181486278692</c:v>
                </c:pt>
                <c:pt idx="418">
                  <c:v>0.8385195118670099</c:v>
                </c:pt>
                <c:pt idx="419">
                  <c:v>0.86182832372818652</c:v>
                </c:pt>
                <c:pt idx="420">
                  <c:v>0.88368238673544663</c:v>
                </c:pt>
                <c:pt idx="421">
                  <c:v>0.90408582911015678</c:v>
                </c:pt>
                <c:pt idx="422">
                  <c:v>0.92304275583842532</c:v>
                </c:pt>
                <c:pt idx="423">
                  <c:v>0.94055725744566843</c:v>
                </c:pt>
                <c:pt idx="424">
                  <c:v>0.95663341141498659</c:v>
                </c:pt>
                <c:pt idx="425">
                  <c:v>0.97127526892314719</c:v>
                </c:pt>
                <c:pt idx="426">
                  <c:v>0.98448687459835327</c:v>
                </c:pt>
                <c:pt idx="427">
                  <c:v>0.99627225073882641</c:v>
                </c:pt>
                <c:pt idx="428">
                  <c:v>1.0066354082703421</c:v>
                </c:pt>
                <c:pt idx="429">
                  <c:v>1.0155803349424275</c:v>
                </c:pt>
                <c:pt idx="430">
                  <c:v>1.0231110065491498</c:v>
                </c:pt>
                <c:pt idx="431">
                  <c:v>1.0292313809034397</c:v>
                </c:pt>
                <c:pt idx="432">
                  <c:v>1.0339454017151146</c:v>
                </c:pt>
                <c:pt idx="433">
                  <c:v>1.0372569952947206</c:v>
                </c:pt>
                <c:pt idx="434">
                  <c:v>1.0391700698276196</c:v>
                </c:pt>
                <c:pt idx="435">
                  <c:v>1.039688519975801</c:v>
                </c:pt>
                <c:pt idx="436">
                  <c:v>1.0388162283196394</c:v>
                </c:pt>
                <c:pt idx="437">
                  <c:v>1.0365570545502241</c:v>
                </c:pt>
                <c:pt idx="438">
                  <c:v>1.0329148443062266</c:v>
                </c:pt>
                <c:pt idx="439">
                  <c:v>1.027893426968518</c:v>
                </c:pt>
                <c:pt idx="440">
                  <c:v>1.0214966242712649</c:v>
                </c:pt>
                <c:pt idx="441">
                  <c:v>1.0137282298115906</c:v>
                </c:pt>
                <c:pt idx="442">
                  <c:v>1.0045920335866665</c:v>
                </c:pt>
                <c:pt idx="443">
                  <c:v>0.99409180191808844</c:v>
                </c:pt>
                <c:pt idx="444">
                  <c:v>0.98223128670345883</c:v>
                </c:pt>
                <c:pt idx="445">
                  <c:v>0.96901422920195479</c:v>
                </c:pt>
                <c:pt idx="446">
                  <c:v>0.95444435053987675</c:v>
                </c:pt>
                <c:pt idx="447">
                  <c:v>0.93852536293729827</c:v>
                </c:pt>
                <c:pt idx="448">
                  <c:v>0.92126095488632842</c:v>
                </c:pt>
                <c:pt idx="449">
                  <c:v>0.90265480444737811</c:v>
                </c:pt>
                <c:pt idx="450">
                  <c:v>0.8827105796652166</c:v>
                </c:pt>
                <c:pt idx="451">
                  <c:v>0.86143192273716096</c:v>
                </c:pt>
                <c:pt idx="452">
                  <c:v>0.83882246952877448</c:v>
                </c:pt>
                <c:pt idx="453">
                  <c:v>0.81488584380573492</c:v>
                </c:pt>
                <c:pt idx="454">
                  <c:v>0.78962564053978834</c:v>
                </c:pt>
                <c:pt idx="455">
                  <c:v>0.76304545350826913</c:v>
                </c:pt>
                <c:pt idx="456">
                  <c:v>0.73514886152894388</c:v>
                </c:pt>
                <c:pt idx="457">
                  <c:v>0.70593941807377725</c:v>
                </c:pt>
                <c:pt idx="458">
                  <c:v>0.67542067335318556</c:v>
                </c:pt>
                <c:pt idx="459">
                  <c:v>0.6435961599792428</c:v>
                </c:pt>
                <c:pt idx="460">
                  <c:v>0.61046939314631654</c:v>
                </c:pt>
                <c:pt idx="461">
                  <c:v>0.57604387650258637</c:v>
                </c:pt>
                <c:pt idx="462">
                  <c:v>0.54032310103802406</c:v>
                </c:pt>
                <c:pt idx="463">
                  <c:v>0.50331053952804439</c:v>
                </c:pt>
                <c:pt idx="464">
                  <c:v>0.46500965312300302</c:v>
                </c:pt>
                <c:pt idx="465">
                  <c:v>0.42542389203491737</c:v>
                </c:pt>
                <c:pt idx="466">
                  <c:v>0.38455669113378921</c:v>
                </c:pt>
                <c:pt idx="467">
                  <c:v>0.34241146389092947</c:v>
                </c:pt>
                <c:pt idx="468">
                  <c:v>0.29899161892622406</c:v>
                </c:pt>
                <c:pt idx="469">
                  <c:v>0.25430054758099452</c:v>
                </c:pt>
                <c:pt idx="470">
                  <c:v>0.20834163359369029</c:v>
                </c:pt>
                <c:pt idx="471">
                  <c:v>0.16111823538223291</c:v>
                </c:pt>
                <c:pt idx="472">
                  <c:v>0.11263370859697641</c:v>
                </c:pt>
                <c:pt idx="473">
                  <c:v>6.2891391506630256E-2</c:v>
                </c:pt>
                <c:pt idx="474">
                  <c:v>1.1894607011853076E-2</c:v>
                </c:pt>
                <c:pt idx="475">
                  <c:v>-4.0353333082421727E-2</c:v>
                </c:pt>
                <c:pt idx="476">
                  <c:v>-9.3849129889659544E-2</c:v>
                </c:pt>
                <c:pt idx="477">
                  <c:v>-0.14858949822569656</c:v>
                </c:pt>
                <c:pt idx="478">
                  <c:v>-0.20457116650414253</c:v>
                </c:pt>
                <c:pt idx="479">
                  <c:v>-0.2617908731224361</c:v>
                </c:pt>
                <c:pt idx="480">
                  <c:v>-0.32024537772698025</c:v>
                </c:pt>
                <c:pt idx="481">
                  <c:v>-0.37993144019368685</c:v>
                </c:pt>
                <c:pt idx="482">
                  <c:v>-0.44084584309032859</c:v>
                </c:pt>
                <c:pt idx="483">
                  <c:v>-0.5029853789465939</c:v>
                </c:pt>
                <c:pt idx="484">
                  <c:v>-0.56634685528227369</c:v>
                </c:pt>
                <c:pt idx="485">
                  <c:v>-0.63092708544745335</c:v>
                </c:pt>
                <c:pt idx="486">
                  <c:v>-0.69672290171984574</c:v>
                </c:pt>
                <c:pt idx="487">
                  <c:v>-0.76373114663057606</c:v>
                </c:pt>
                <c:pt idx="488">
                  <c:v>-0.83194867879448431</c:v>
                </c:pt>
                <c:pt idx="489">
                  <c:v>-0.90137236197485038</c:v>
                </c:pt>
                <c:pt idx="490">
                  <c:v>-0.97199908297101523</c:v>
                </c:pt>
                <c:pt idx="491">
                  <c:v>-1.0438257247233871</c:v>
                </c:pt>
                <c:pt idx="492">
                  <c:v>-1.1168491955894497</c:v>
                </c:pt>
                <c:pt idx="493">
                  <c:v>-1.1910664188254874</c:v>
                </c:pt>
                <c:pt idx="494">
                  <c:v>-1.266474310998098</c:v>
                </c:pt>
                <c:pt idx="495">
                  <c:v>-1.3430698257410114</c:v>
                </c:pt>
                <c:pt idx="496">
                  <c:v>-1.4208499125683858</c:v>
                </c:pt>
                <c:pt idx="497">
                  <c:v>-1.4998115307470172</c:v>
                </c:pt>
                <c:pt idx="498">
                  <c:v>-1.5799516654725272</c:v>
                </c:pt>
                <c:pt idx="499">
                  <c:v>-1.6612673012983414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AA-4873-B121-7F940B5ED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8919119"/>
        <c:axId val="1035654671"/>
      </c:scatterChart>
      <c:valAx>
        <c:axId val="104891911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5654671"/>
        <c:crosses val="autoZero"/>
        <c:crossBetween val="midCat"/>
      </c:valAx>
      <c:valAx>
        <c:axId val="103565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8919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0.36391908154700531"/>
          <c:y val="0.90244515557280214"/>
          <c:w val="0.28189673344396876"/>
          <c:h val="8.5067855803794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Etude de la convergence en fonction du Strike (De OTM à ITM)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Convergence_Strike!$B$1</c:f>
              <c:strCache>
                <c:ptCount val="1"/>
                <c:pt idx="0">
                  <c:v>TrinomialPrice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Convergence_Strike!$A$5:$A$25</c:f>
              <c:numCache>
                <c:formatCode>General</c:formatCode>
                <c:ptCount val="21"/>
                <c:pt idx="0">
                  <c:v>107</c:v>
                </c:pt>
                <c:pt idx="1">
                  <c:v>108</c:v>
                </c:pt>
                <c:pt idx="2">
                  <c:v>109</c:v>
                </c:pt>
                <c:pt idx="3">
                  <c:v>110</c:v>
                </c:pt>
                <c:pt idx="4">
                  <c:v>111</c:v>
                </c:pt>
                <c:pt idx="5">
                  <c:v>112</c:v>
                </c:pt>
                <c:pt idx="6">
                  <c:v>113</c:v>
                </c:pt>
                <c:pt idx="7">
                  <c:v>114</c:v>
                </c:pt>
                <c:pt idx="8">
                  <c:v>115</c:v>
                </c:pt>
                <c:pt idx="9">
                  <c:v>116</c:v>
                </c:pt>
                <c:pt idx="10">
                  <c:v>117</c:v>
                </c:pt>
                <c:pt idx="11">
                  <c:v>118</c:v>
                </c:pt>
                <c:pt idx="12">
                  <c:v>119</c:v>
                </c:pt>
                <c:pt idx="13">
                  <c:v>120</c:v>
                </c:pt>
                <c:pt idx="14">
                  <c:v>121</c:v>
                </c:pt>
                <c:pt idx="15">
                  <c:v>122</c:v>
                </c:pt>
                <c:pt idx="16">
                  <c:v>123</c:v>
                </c:pt>
                <c:pt idx="17">
                  <c:v>124</c:v>
                </c:pt>
                <c:pt idx="18">
                  <c:v>125</c:v>
                </c:pt>
                <c:pt idx="19">
                  <c:v>126</c:v>
                </c:pt>
              </c:numCache>
            </c:numRef>
          </c:cat>
          <c:val>
            <c:numRef>
              <c:f>Convergence_Strike!$B$2:$B$24</c:f>
              <c:numCache>
                <c:formatCode>General</c:formatCode>
                <c:ptCount val="23"/>
                <c:pt idx="0">
                  <c:v>8.0578375046626594</c:v>
                </c:pt>
                <c:pt idx="1">
                  <c:v>7.7165391790331554</c:v>
                </c:pt>
                <c:pt idx="2">
                  <c:v>7.3752408534036498</c:v>
                </c:pt>
                <c:pt idx="3">
                  <c:v>7.0339425277741467</c:v>
                </c:pt>
                <c:pt idx="4">
                  <c:v>6.6926442021446428</c:v>
                </c:pt>
                <c:pt idx="5">
                  <c:v>6.351345876515138</c:v>
                </c:pt>
                <c:pt idx="6">
                  <c:v>6.0100475508856341</c:v>
                </c:pt>
                <c:pt idx="7">
                  <c:v>5.6687492252561302</c:v>
                </c:pt>
                <c:pt idx="8">
                  <c:v>5.3274508996266254</c:v>
                </c:pt>
                <c:pt idx="9">
                  <c:v>4.9861525739971198</c:v>
                </c:pt>
                <c:pt idx="10">
                  <c:v>4.6448542483676141</c:v>
                </c:pt>
                <c:pt idx="11">
                  <c:v>4.3035559227381119</c:v>
                </c:pt>
                <c:pt idx="12">
                  <c:v>4.0979284719734705</c:v>
                </c:pt>
                <c:pt idx="13">
                  <c:v>3.9292950911566416</c:v>
                </c:pt>
                <c:pt idx="14">
                  <c:v>3.7606617103398152</c:v>
                </c:pt>
                <c:pt idx="15">
                  <c:v>3.5920283295229867</c:v>
                </c:pt>
                <c:pt idx="16">
                  <c:v>3.4233949487061599</c:v>
                </c:pt>
                <c:pt idx="17">
                  <c:v>3.2547615678893309</c:v>
                </c:pt>
                <c:pt idx="18">
                  <c:v>3.0861281870725019</c:v>
                </c:pt>
                <c:pt idx="19">
                  <c:v>2.9174948062556743</c:v>
                </c:pt>
                <c:pt idx="20">
                  <c:v>2.748861425438847</c:v>
                </c:pt>
                <c:pt idx="21">
                  <c:v>2.5802280446220194</c:v>
                </c:pt>
                <c:pt idx="22">
                  <c:v>2.4115946638051908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39-4B08-BE94-310F28FC39D2}"/>
            </c:ext>
          </c:extLst>
        </c:ser>
        <c:ser>
          <c:idx val="1"/>
          <c:order val="1"/>
          <c:tx>
            <c:strRef>
              <c:f>Convergence_Strike!$C$1</c:f>
              <c:strCache>
                <c:ptCount val="1"/>
                <c:pt idx="0">
                  <c:v>BlackScholesPrice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Convergence_Strike!$A$5:$A$25</c:f>
              <c:numCache>
                <c:formatCode>General</c:formatCode>
                <c:ptCount val="21"/>
                <c:pt idx="0">
                  <c:v>107</c:v>
                </c:pt>
                <c:pt idx="1">
                  <c:v>108</c:v>
                </c:pt>
                <c:pt idx="2">
                  <c:v>109</c:v>
                </c:pt>
                <c:pt idx="3">
                  <c:v>110</c:v>
                </c:pt>
                <c:pt idx="4">
                  <c:v>111</c:v>
                </c:pt>
                <c:pt idx="5">
                  <c:v>112</c:v>
                </c:pt>
                <c:pt idx="6">
                  <c:v>113</c:v>
                </c:pt>
                <c:pt idx="7">
                  <c:v>114</c:v>
                </c:pt>
                <c:pt idx="8">
                  <c:v>115</c:v>
                </c:pt>
                <c:pt idx="9">
                  <c:v>116</c:v>
                </c:pt>
                <c:pt idx="10">
                  <c:v>117</c:v>
                </c:pt>
                <c:pt idx="11">
                  <c:v>118</c:v>
                </c:pt>
                <c:pt idx="12">
                  <c:v>119</c:v>
                </c:pt>
                <c:pt idx="13">
                  <c:v>120</c:v>
                </c:pt>
                <c:pt idx="14">
                  <c:v>121</c:v>
                </c:pt>
                <c:pt idx="15">
                  <c:v>122</c:v>
                </c:pt>
                <c:pt idx="16">
                  <c:v>123</c:v>
                </c:pt>
                <c:pt idx="17">
                  <c:v>124</c:v>
                </c:pt>
                <c:pt idx="18">
                  <c:v>125</c:v>
                </c:pt>
                <c:pt idx="19">
                  <c:v>126</c:v>
                </c:pt>
              </c:numCache>
            </c:numRef>
          </c:cat>
          <c:val>
            <c:numRef>
              <c:f>Convergence_Strike!$C$2:$C$24</c:f>
              <c:numCache>
                <c:formatCode>General</c:formatCode>
                <c:ptCount val="23"/>
                <c:pt idx="0">
                  <c:v>8.0897040333148382</c:v>
                </c:pt>
                <c:pt idx="1">
                  <c:v>7.6889275880933212</c:v>
                </c:pt>
                <c:pt idx="2">
                  <c:v>7.3040038782997456</c:v>
                </c:pt>
                <c:pt idx="3">
                  <c:v>6.9346046615199839</c:v>
                </c:pt>
                <c:pt idx="4">
                  <c:v>6.580385626483519</c:v>
                </c:pt>
                <c:pt idx="5">
                  <c:v>6.2409884219498437</c:v>
                </c:pt>
                <c:pt idx="6">
                  <c:v>5.9160426328675371</c:v>
                </c:pt>
                <c:pt idx="7">
                  <c:v>5.6051676935331898</c:v>
                </c:pt>
                <c:pt idx="8">
                  <c:v>5.3079747289805255</c:v>
                </c:pt>
                <c:pt idx="9">
                  <c:v>5.0240683172741853</c:v>
                </c:pt>
                <c:pt idx="10">
                  <c:v>4.753048166756237</c:v>
                </c:pt>
                <c:pt idx="11">
                  <c:v>4.4945107035866663</c:v>
                </c:pt>
                <c:pt idx="12">
                  <c:v>4.2480505661258654</c:v>
                </c:pt>
                <c:pt idx="13">
                  <c:v>4.013262003822188</c:v>
                </c:pt>
                <c:pt idx="14">
                  <c:v>3.7897401792878291</c:v>
                </c:pt>
                <c:pt idx="15">
                  <c:v>3.5770823731720931</c:v>
                </c:pt>
                <c:pt idx="16">
                  <c:v>3.3748890922703438</c:v>
                </c:pt>
                <c:pt idx="17">
                  <c:v>3.1827650820437761</c:v>
                </c:pt>
                <c:pt idx="18">
                  <c:v>3.0003202453704176</c:v>
                </c:pt>
                <c:pt idx="19">
                  <c:v>2.8271704699058446</c:v>
                </c:pt>
                <c:pt idx="20">
                  <c:v>2.662938366907337</c:v>
                </c:pt>
                <c:pt idx="21">
                  <c:v>2.5072539247708718</c:v>
                </c:pt>
                <c:pt idx="22">
                  <c:v>2.3597550808545087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39-4B08-BE94-310F28FC3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100320"/>
        <c:axId val="604197392"/>
      </c:lineChart>
      <c:lineChart>
        <c:grouping val="standard"/>
        <c:varyColors val="0"/>
        <c:ser>
          <c:idx val="2"/>
          <c:order val="2"/>
          <c:tx>
            <c:strRef>
              <c:f>Convergence_Strike!$D$1</c:f>
              <c:strCache>
                <c:ptCount val="1"/>
                <c:pt idx="0">
                  <c:v>Trinomial - Black_Scholes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Convergence_Strike!$A$2:$A$24</c:f>
              <c:numCache>
                <c:formatCode>General</c:formatCode>
                <c:ptCount val="23"/>
                <c:pt idx="0">
                  <c:v>104</c:v>
                </c:pt>
                <c:pt idx="1">
                  <c:v>105</c:v>
                </c:pt>
                <c:pt idx="2">
                  <c:v>106</c:v>
                </c:pt>
                <c:pt idx="3">
                  <c:v>107</c:v>
                </c:pt>
                <c:pt idx="4">
                  <c:v>108</c:v>
                </c:pt>
                <c:pt idx="5">
                  <c:v>109</c:v>
                </c:pt>
                <c:pt idx="6">
                  <c:v>110</c:v>
                </c:pt>
                <c:pt idx="7">
                  <c:v>111</c:v>
                </c:pt>
                <c:pt idx="8">
                  <c:v>112</c:v>
                </c:pt>
                <c:pt idx="9">
                  <c:v>113</c:v>
                </c:pt>
                <c:pt idx="10">
                  <c:v>114</c:v>
                </c:pt>
                <c:pt idx="11">
                  <c:v>115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119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123</c:v>
                </c:pt>
                <c:pt idx="20">
                  <c:v>124</c:v>
                </c:pt>
                <c:pt idx="21">
                  <c:v>125</c:v>
                </c:pt>
                <c:pt idx="22">
                  <c:v>126</c:v>
                </c:pt>
              </c:numCache>
            </c:numRef>
          </c:cat>
          <c:val>
            <c:numRef>
              <c:f>Convergence_Strike!$D$2:$D$24</c:f>
              <c:numCache>
                <c:formatCode>General</c:formatCode>
                <c:ptCount val="23"/>
                <c:pt idx="0">
                  <c:v>-3.1866528652178872E-2</c:v>
                </c:pt>
                <c:pt idx="1">
                  <c:v>2.761159093983423E-2</c:v>
                </c:pt>
                <c:pt idx="2">
                  <c:v>7.1236975103904143E-2</c:v>
                </c:pt>
                <c:pt idx="3">
                  <c:v>9.9337866254162854E-2</c:v>
                </c:pt>
                <c:pt idx="4">
                  <c:v>0.11225857566112385</c:v>
                </c:pt>
                <c:pt idx="5">
                  <c:v>0.11035745456529433</c:v>
                </c:pt>
                <c:pt idx="6">
                  <c:v>9.4004918018097072E-2</c:v>
                </c:pt>
                <c:pt idx="7">
                  <c:v>6.3581531722940454E-2</c:v>
                </c:pt>
                <c:pt idx="8">
                  <c:v>1.9476170646099966E-2</c:v>
                </c:pt>
                <c:pt idx="9">
                  <c:v>-3.7915743277065594E-2</c:v>
                </c:pt>
                <c:pt idx="10">
                  <c:v>-0.10819391838862291</c:v>
                </c:pt>
                <c:pt idx="11">
                  <c:v>-0.19095478084855433</c:v>
                </c:pt>
                <c:pt idx="12">
                  <c:v>-0.15012209415239486</c:v>
                </c:pt>
                <c:pt idx="13">
                  <c:v>-8.3966912665546456E-2</c:v>
                </c:pt>
                <c:pt idx="14">
                  <c:v>-2.9078468948013914E-2</c:v>
                </c:pt>
                <c:pt idx="15">
                  <c:v>1.4945956350893574E-2</c:v>
                </c:pt>
                <c:pt idx="16">
                  <c:v>4.8505856435816064E-2</c:v>
                </c:pt>
                <c:pt idx="17">
                  <c:v>7.1996485845554847E-2</c:v>
                </c:pt>
                <c:pt idx="18">
                  <c:v>8.5807941702084278E-2</c:v>
                </c:pt>
                <c:pt idx="19">
                  <c:v>9.0324336349829615E-2</c:v>
                </c:pt>
                <c:pt idx="20">
                  <c:v>8.5923058531510055E-2</c:v>
                </c:pt>
                <c:pt idx="21">
                  <c:v>7.2974119851147545E-2</c:v>
                </c:pt>
                <c:pt idx="22">
                  <c:v>5.1839582950682139E-2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39-4B08-BE94-310F28FC39D2}"/>
            </c:ext>
          </c:extLst>
        </c:ser>
        <c:ser>
          <c:idx val="3"/>
          <c:order val="3"/>
          <c:tx>
            <c:strRef>
              <c:f>Convergence_Strike!$E$1</c:f>
              <c:strCache>
                <c:ptCount val="1"/>
                <c:pt idx="0">
                  <c:v>Trinomial Slope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Convergence_Strike!$A$2:$A$24</c:f>
              <c:numCache>
                <c:formatCode>General</c:formatCode>
                <c:ptCount val="23"/>
                <c:pt idx="0">
                  <c:v>104</c:v>
                </c:pt>
                <c:pt idx="1">
                  <c:v>105</c:v>
                </c:pt>
                <c:pt idx="2">
                  <c:v>106</c:v>
                </c:pt>
                <c:pt idx="3">
                  <c:v>107</c:v>
                </c:pt>
                <c:pt idx="4">
                  <c:v>108</c:v>
                </c:pt>
                <c:pt idx="5">
                  <c:v>109</c:v>
                </c:pt>
                <c:pt idx="6">
                  <c:v>110</c:v>
                </c:pt>
                <c:pt idx="7">
                  <c:v>111</c:v>
                </c:pt>
                <c:pt idx="8">
                  <c:v>112</c:v>
                </c:pt>
                <c:pt idx="9">
                  <c:v>113</c:v>
                </c:pt>
                <c:pt idx="10">
                  <c:v>114</c:v>
                </c:pt>
                <c:pt idx="11">
                  <c:v>115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119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123</c:v>
                </c:pt>
                <c:pt idx="20">
                  <c:v>124</c:v>
                </c:pt>
                <c:pt idx="21">
                  <c:v>125</c:v>
                </c:pt>
                <c:pt idx="22">
                  <c:v>126</c:v>
                </c:pt>
              </c:numCache>
            </c:numRef>
          </c:cat>
          <c:val>
            <c:numRef>
              <c:f>Convergence_Strike!$E$3:$E$24</c:f>
              <c:numCache>
                <c:formatCode>General</c:formatCode>
                <c:ptCount val="22"/>
                <c:pt idx="0">
                  <c:v>-0.34129832562950391</c:v>
                </c:pt>
                <c:pt idx="1">
                  <c:v>-0.34129832562950568</c:v>
                </c:pt>
                <c:pt idx="2">
                  <c:v>-0.34129832562950302</c:v>
                </c:pt>
                <c:pt idx="3">
                  <c:v>-0.34129832562950391</c:v>
                </c:pt>
                <c:pt idx="4">
                  <c:v>-0.3412983256295048</c:v>
                </c:pt>
                <c:pt idx="5">
                  <c:v>-0.34129832562950391</c:v>
                </c:pt>
                <c:pt idx="6">
                  <c:v>-0.34129832562950391</c:v>
                </c:pt>
                <c:pt idx="7">
                  <c:v>-0.3412983256295048</c:v>
                </c:pt>
                <c:pt idx="8">
                  <c:v>-0.34129832562950568</c:v>
                </c:pt>
                <c:pt idx="9">
                  <c:v>-0.34129832562950568</c:v>
                </c:pt>
                <c:pt idx="10">
                  <c:v>-0.34129832562950213</c:v>
                </c:pt>
                <c:pt idx="11">
                  <c:v>-0.2056274507646414</c:v>
                </c:pt>
                <c:pt idx="12">
                  <c:v>-0.16863338081682899</c:v>
                </c:pt>
                <c:pt idx="13">
                  <c:v>-0.16863338081682633</c:v>
                </c:pt>
                <c:pt idx="14">
                  <c:v>-0.16863338081682855</c:v>
                </c:pt>
                <c:pt idx="15">
                  <c:v>-0.16863338081682677</c:v>
                </c:pt>
                <c:pt idx="16">
                  <c:v>-0.16863338081682899</c:v>
                </c:pt>
                <c:pt idx="17">
                  <c:v>-0.16863338081682899</c:v>
                </c:pt>
                <c:pt idx="18">
                  <c:v>-0.16863338081682766</c:v>
                </c:pt>
                <c:pt idx="19">
                  <c:v>-0.16863338081682722</c:v>
                </c:pt>
                <c:pt idx="20">
                  <c:v>-0.16863338081682766</c:v>
                </c:pt>
                <c:pt idx="21">
                  <c:v>-0.16863338081682855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6-4C6E-8ACF-561A7961817C}"/>
            </c:ext>
          </c:extLst>
        </c:ser>
        <c:ser>
          <c:idx val="4"/>
          <c:order val="4"/>
          <c:tx>
            <c:strRef>
              <c:f>Convergence_Strike!$F$1</c:f>
              <c:strCache>
                <c:ptCount val="1"/>
                <c:pt idx="0">
                  <c:v>BS Slope</c:v>
                </c:pt>
              </c:strCache>
            </c:strRef>
          </c:tx>
          <c:spPr>
            <a:ln w="28575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Convergence_Strike!$A$2:$A$24</c:f>
              <c:numCache>
                <c:formatCode>General</c:formatCode>
                <c:ptCount val="23"/>
                <c:pt idx="0">
                  <c:v>104</c:v>
                </c:pt>
                <c:pt idx="1">
                  <c:v>105</c:v>
                </c:pt>
                <c:pt idx="2">
                  <c:v>106</c:v>
                </c:pt>
                <c:pt idx="3">
                  <c:v>107</c:v>
                </c:pt>
                <c:pt idx="4">
                  <c:v>108</c:v>
                </c:pt>
                <c:pt idx="5">
                  <c:v>109</c:v>
                </c:pt>
                <c:pt idx="6">
                  <c:v>110</c:v>
                </c:pt>
                <c:pt idx="7">
                  <c:v>111</c:v>
                </c:pt>
                <c:pt idx="8">
                  <c:v>112</c:v>
                </c:pt>
                <c:pt idx="9">
                  <c:v>113</c:v>
                </c:pt>
                <c:pt idx="10">
                  <c:v>114</c:v>
                </c:pt>
                <c:pt idx="11">
                  <c:v>115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119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123</c:v>
                </c:pt>
                <c:pt idx="20">
                  <c:v>124</c:v>
                </c:pt>
                <c:pt idx="21">
                  <c:v>125</c:v>
                </c:pt>
                <c:pt idx="22">
                  <c:v>126</c:v>
                </c:pt>
              </c:numCache>
            </c:numRef>
          </c:cat>
          <c:val>
            <c:numRef>
              <c:f>Convergence_Strike!$F$3:$F$24</c:f>
              <c:numCache>
                <c:formatCode>General</c:formatCode>
                <c:ptCount val="22"/>
                <c:pt idx="0">
                  <c:v>-0.40077644522151701</c:v>
                </c:pt>
                <c:pt idx="1">
                  <c:v>-0.3849237097935756</c:v>
                </c:pt>
                <c:pt idx="2">
                  <c:v>-0.36939921677976173</c:v>
                </c:pt>
                <c:pt idx="3">
                  <c:v>-0.3542190350364649</c:v>
                </c:pt>
                <c:pt idx="4">
                  <c:v>-0.33939720453367528</c:v>
                </c:pt>
                <c:pt idx="5">
                  <c:v>-0.32494578908230665</c:v>
                </c:pt>
                <c:pt idx="6">
                  <c:v>-0.31087493933434729</c:v>
                </c:pt>
                <c:pt idx="7">
                  <c:v>-0.29719296455266431</c:v>
                </c:pt>
                <c:pt idx="8">
                  <c:v>-0.28390641170634012</c:v>
                </c:pt>
                <c:pt idx="9">
                  <c:v>-0.27102015051794837</c:v>
                </c:pt>
                <c:pt idx="10">
                  <c:v>-0.25853746316957071</c:v>
                </c:pt>
                <c:pt idx="11">
                  <c:v>-0.24646013746080087</c:v>
                </c:pt>
                <c:pt idx="12">
                  <c:v>-0.23478856230367739</c:v>
                </c:pt>
                <c:pt idx="13">
                  <c:v>-0.22352182453435887</c:v>
                </c:pt>
                <c:pt idx="14">
                  <c:v>-0.21265780611573604</c:v>
                </c:pt>
                <c:pt idx="15">
                  <c:v>-0.20219328090174926</c:v>
                </c:pt>
                <c:pt idx="16">
                  <c:v>-0.19212401022656778</c:v>
                </c:pt>
                <c:pt idx="17">
                  <c:v>-0.18244483667335842</c:v>
                </c:pt>
                <c:pt idx="18">
                  <c:v>-0.173149775464573</c:v>
                </c:pt>
                <c:pt idx="19">
                  <c:v>-0.16423210299850766</c:v>
                </c:pt>
                <c:pt idx="20">
                  <c:v>-0.15568444213646515</c:v>
                </c:pt>
                <c:pt idx="21">
                  <c:v>-0.14749884391636314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6-4C6E-8ACF-561A79618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092160"/>
        <c:axId val="788456608"/>
      </c:lineChart>
      <c:catAx>
        <c:axId val="60210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4197392"/>
        <c:crosses val="autoZero"/>
        <c:auto val="1"/>
        <c:lblAlgn val="ctr"/>
        <c:lblOffset val="100"/>
        <c:noMultiLvlLbl val="0"/>
      </c:catAx>
      <c:valAx>
        <c:axId val="60419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100320"/>
        <c:crosses val="autoZero"/>
        <c:crossBetween val="between"/>
      </c:valAx>
      <c:valAx>
        <c:axId val="788456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2092160"/>
        <c:crosses val="max"/>
        <c:crossBetween val="between"/>
      </c:valAx>
      <c:catAx>
        <c:axId val="60209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8456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Greeks!$B$1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Greeks!$A$2:$A$204</c:f>
              <c:numCache>
                <c:formatCode>General</c:formatCode>
                <c:ptCount val="2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</c:numCache>
            </c:numRef>
          </c:cat>
          <c:val>
            <c:numRef>
              <c:f>Greeks!$B$2:$B$204</c:f>
              <c:numCache>
                <c:formatCode>General</c:formatCode>
                <c:ptCount val="2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6.9999999999999994E-5</c:v>
                </c:pt>
                <c:pt idx="49">
                  <c:v>3.68E-4</c:v>
                </c:pt>
                <c:pt idx="50">
                  <c:v>2.552E-3</c:v>
                </c:pt>
                <c:pt idx="51">
                  <c:v>3.3310000000000002E-3</c:v>
                </c:pt>
                <c:pt idx="52">
                  <c:v>3.9769999999999996E-3</c:v>
                </c:pt>
                <c:pt idx="53">
                  <c:v>6.476E-3</c:v>
                </c:pt>
                <c:pt idx="54">
                  <c:v>7.6819999999999996E-3</c:v>
                </c:pt>
                <c:pt idx="55">
                  <c:v>8.6040000000000005E-3</c:v>
                </c:pt>
                <c:pt idx="56">
                  <c:v>1.1782000000000001E-2</c:v>
                </c:pt>
                <c:pt idx="57">
                  <c:v>1.2988E-2</c:v>
                </c:pt>
                <c:pt idx="58">
                  <c:v>1.5976000000000001E-2</c:v>
                </c:pt>
                <c:pt idx="59">
                  <c:v>2.0820999999999999E-2</c:v>
                </c:pt>
                <c:pt idx="60">
                  <c:v>2.1446E-2</c:v>
                </c:pt>
                <c:pt idx="61">
                  <c:v>2.8466000000000002E-2</c:v>
                </c:pt>
                <c:pt idx="62">
                  <c:v>0.03</c:v>
                </c:pt>
                <c:pt idx="63">
                  <c:v>3.7339999999999998E-2</c:v>
                </c:pt>
                <c:pt idx="64">
                  <c:v>4.2930000000000003E-2</c:v>
                </c:pt>
                <c:pt idx="65">
                  <c:v>4.8388E-2</c:v>
                </c:pt>
                <c:pt idx="66">
                  <c:v>5.8457000000000002E-2</c:v>
                </c:pt>
                <c:pt idx="67">
                  <c:v>6.1938E-2</c:v>
                </c:pt>
                <c:pt idx="68">
                  <c:v>7.6510999999999996E-2</c:v>
                </c:pt>
                <c:pt idx="69">
                  <c:v>7.8303999999999999E-2</c:v>
                </c:pt>
                <c:pt idx="70">
                  <c:v>9.6873000000000001E-2</c:v>
                </c:pt>
                <c:pt idx="71">
                  <c:v>9.7778000000000004E-2</c:v>
                </c:pt>
                <c:pt idx="72">
                  <c:v>0.119168</c:v>
                </c:pt>
                <c:pt idx="73">
                  <c:v>0.120603</c:v>
                </c:pt>
                <c:pt idx="74">
                  <c:v>0.14288500000000001</c:v>
                </c:pt>
                <c:pt idx="75">
                  <c:v>0.146954</c:v>
                </c:pt>
                <c:pt idx="76">
                  <c:v>0.167411</c:v>
                </c:pt>
                <c:pt idx="77">
                  <c:v>0.176923</c:v>
                </c:pt>
                <c:pt idx="78">
                  <c:v>0.192084</c:v>
                </c:pt>
                <c:pt idx="79">
                  <c:v>0.21049899999999999</c:v>
                </c:pt>
                <c:pt idx="80">
                  <c:v>0.216254</c:v>
                </c:pt>
                <c:pt idx="81">
                  <c:v>0.247554</c:v>
                </c:pt>
                <c:pt idx="82">
                  <c:v>0.247554</c:v>
                </c:pt>
                <c:pt idx="83">
                  <c:v>0.28783900000000001</c:v>
                </c:pt>
                <c:pt idx="84">
                  <c:v>0.28783900000000001</c:v>
                </c:pt>
                <c:pt idx="85">
                  <c:v>0.31195899999999999</c:v>
                </c:pt>
                <c:pt idx="86">
                  <c:v>0.33098300000000003</c:v>
                </c:pt>
                <c:pt idx="87">
                  <c:v>0.333727</c:v>
                </c:pt>
                <c:pt idx="88">
                  <c:v>0.376502</c:v>
                </c:pt>
                <c:pt idx="89">
                  <c:v>0.376502</c:v>
                </c:pt>
                <c:pt idx="90">
                  <c:v>0.40592200000000001</c:v>
                </c:pt>
                <c:pt idx="91">
                  <c:v>0.42381000000000002</c:v>
                </c:pt>
                <c:pt idx="92">
                  <c:v>0.42381000000000002</c:v>
                </c:pt>
                <c:pt idx="93">
                  <c:v>0.472244</c:v>
                </c:pt>
                <c:pt idx="94">
                  <c:v>0.472244</c:v>
                </c:pt>
                <c:pt idx="95">
                  <c:v>0.49085299999999998</c:v>
                </c:pt>
                <c:pt idx="96">
                  <c:v>0.52109499999999997</c:v>
                </c:pt>
                <c:pt idx="97">
                  <c:v>0.52109499999999997</c:v>
                </c:pt>
                <c:pt idx="98">
                  <c:v>0.55337700000000001</c:v>
                </c:pt>
                <c:pt idx="99">
                  <c:v>0.569631</c:v>
                </c:pt>
                <c:pt idx="100">
                  <c:v>0.569631</c:v>
                </c:pt>
                <c:pt idx="101">
                  <c:v>0.61032200000000003</c:v>
                </c:pt>
                <c:pt idx="102">
                  <c:v>0.61713600000000002</c:v>
                </c:pt>
                <c:pt idx="103">
                  <c:v>0.61713600000000002</c:v>
                </c:pt>
                <c:pt idx="104">
                  <c:v>0.66115699999999999</c:v>
                </c:pt>
                <c:pt idx="105">
                  <c:v>0.66293999999999997</c:v>
                </c:pt>
                <c:pt idx="106">
                  <c:v>0.66507700000000003</c:v>
                </c:pt>
                <c:pt idx="107">
                  <c:v>0.70574400000000004</c:v>
                </c:pt>
                <c:pt idx="108">
                  <c:v>0.70644499999999999</c:v>
                </c:pt>
                <c:pt idx="109">
                  <c:v>0.70724699999999996</c:v>
                </c:pt>
                <c:pt idx="110">
                  <c:v>0.74428000000000005</c:v>
                </c:pt>
                <c:pt idx="111">
                  <c:v>0.74715299999999996</c:v>
                </c:pt>
                <c:pt idx="112">
                  <c:v>0.74715299999999996</c:v>
                </c:pt>
                <c:pt idx="113">
                  <c:v>0.77723699999999996</c:v>
                </c:pt>
                <c:pt idx="114">
                  <c:v>0.78467600000000004</c:v>
                </c:pt>
                <c:pt idx="115">
                  <c:v>0.78467600000000004</c:v>
                </c:pt>
                <c:pt idx="116">
                  <c:v>0.80526799999999998</c:v>
                </c:pt>
                <c:pt idx="117">
                  <c:v>0.818747</c:v>
                </c:pt>
                <c:pt idx="118">
                  <c:v>0.818747</c:v>
                </c:pt>
                <c:pt idx="119">
                  <c:v>0.82912399999999997</c:v>
                </c:pt>
                <c:pt idx="120">
                  <c:v>0.84922399999999998</c:v>
                </c:pt>
                <c:pt idx="121">
                  <c:v>0.84922399999999998</c:v>
                </c:pt>
                <c:pt idx="122">
                  <c:v>0.84956600000000004</c:v>
                </c:pt>
                <c:pt idx="123">
                  <c:v>0.87143800000000005</c:v>
                </c:pt>
                <c:pt idx="124">
                  <c:v>0.87607999999999997</c:v>
                </c:pt>
                <c:pt idx="125">
                  <c:v>0.87607999999999997</c:v>
                </c:pt>
                <c:pt idx="126">
                  <c:v>0.88591399999999998</c:v>
                </c:pt>
                <c:pt idx="127">
                  <c:v>0.89939199999999997</c:v>
                </c:pt>
                <c:pt idx="128">
                  <c:v>0.89939199999999997</c:v>
                </c:pt>
                <c:pt idx="129">
                  <c:v>0.89939199999999997</c:v>
                </c:pt>
                <c:pt idx="130">
                  <c:v>0.91394200000000003</c:v>
                </c:pt>
                <c:pt idx="131">
                  <c:v>0.91932700000000001</c:v>
                </c:pt>
                <c:pt idx="132">
                  <c:v>0.91932700000000001</c:v>
                </c:pt>
                <c:pt idx="133">
                  <c:v>0.92263499999999998</c:v>
                </c:pt>
                <c:pt idx="134">
                  <c:v>0.93517399999999995</c:v>
                </c:pt>
                <c:pt idx="135">
                  <c:v>0.93611999999999995</c:v>
                </c:pt>
                <c:pt idx="136">
                  <c:v>0.93611999999999995</c:v>
                </c:pt>
                <c:pt idx="137">
                  <c:v>0.94092900000000002</c:v>
                </c:pt>
                <c:pt idx="138">
                  <c:v>0.95005600000000001</c:v>
                </c:pt>
                <c:pt idx="139">
                  <c:v>0.95005600000000001</c:v>
                </c:pt>
                <c:pt idx="140">
                  <c:v>0.95005600000000001</c:v>
                </c:pt>
                <c:pt idx="141">
                  <c:v>0.95470900000000003</c:v>
                </c:pt>
                <c:pt idx="142">
                  <c:v>0.96144799999999997</c:v>
                </c:pt>
                <c:pt idx="143">
                  <c:v>0.96144799999999997</c:v>
                </c:pt>
                <c:pt idx="144">
                  <c:v>0.96144799999999997</c:v>
                </c:pt>
                <c:pt idx="145">
                  <c:v>0.96504400000000001</c:v>
                </c:pt>
                <c:pt idx="146">
                  <c:v>0.97062099999999996</c:v>
                </c:pt>
                <c:pt idx="147">
                  <c:v>0.97062099999999996</c:v>
                </c:pt>
                <c:pt idx="148">
                  <c:v>0.97062099999999996</c:v>
                </c:pt>
                <c:pt idx="149">
                  <c:v>0.97280500000000003</c:v>
                </c:pt>
                <c:pt idx="150">
                  <c:v>0.97765800000000003</c:v>
                </c:pt>
                <c:pt idx="151">
                  <c:v>0.97789899999999996</c:v>
                </c:pt>
                <c:pt idx="152">
                  <c:v>0.97789899999999996</c:v>
                </c:pt>
                <c:pt idx="153">
                  <c:v>0.97867300000000002</c:v>
                </c:pt>
                <c:pt idx="154">
                  <c:v>0.98237399999999997</c:v>
                </c:pt>
                <c:pt idx="155">
                  <c:v>0.98358599999999996</c:v>
                </c:pt>
                <c:pt idx="156">
                  <c:v>0.98358599999999996</c:v>
                </c:pt>
                <c:pt idx="157">
                  <c:v>0.98358599999999996</c:v>
                </c:pt>
                <c:pt idx="158">
                  <c:v>0.98594800000000005</c:v>
                </c:pt>
                <c:pt idx="159">
                  <c:v>0.98796300000000004</c:v>
                </c:pt>
                <c:pt idx="160">
                  <c:v>0.98796300000000004</c:v>
                </c:pt>
                <c:pt idx="161">
                  <c:v>0.98796300000000004</c:v>
                </c:pt>
                <c:pt idx="162">
                  <c:v>0.98871900000000001</c:v>
                </c:pt>
                <c:pt idx="163">
                  <c:v>0.99075800000000003</c:v>
                </c:pt>
                <c:pt idx="164">
                  <c:v>0.99128099999999997</c:v>
                </c:pt>
                <c:pt idx="165">
                  <c:v>0.99128099999999997</c:v>
                </c:pt>
                <c:pt idx="166">
                  <c:v>0.99128099999999997</c:v>
                </c:pt>
                <c:pt idx="167">
                  <c:v>0.99241199999999996</c:v>
                </c:pt>
                <c:pt idx="168">
                  <c:v>0.99375899999999995</c:v>
                </c:pt>
                <c:pt idx="169">
                  <c:v>0.99375899999999995</c:v>
                </c:pt>
                <c:pt idx="170">
                  <c:v>0.99375899999999995</c:v>
                </c:pt>
                <c:pt idx="171">
                  <c:v>0.99378100000000003</c:v>
                </c:pt>
                <c:pt idx="172">
                  <c:v>0.99484499999999998</c:v>
                </c:pt>
                <c:pt idx="173">
                  <c:v>0.995583</c:v>
                </c:pt>
                <c:pt idx="174">
                  <c:v>0.995583</c:v>
                </c:pt>
                <c:pt idx="175">
                  <c:v>0.995583</c:v>
                </c:pt>
                <c:pt idx="176">
                  <c:v>0.99569399999999997</c:v>
                </c:pt>
                <c:pt idx="177">
                  <c:v>0.996444</c:v>
                </c:pt>
                <c:pt idx="178">
                  <c:v>0.99690599999999996</c:v>
                </c:pt>
                <c:pt idx="179">
                  <c:v>0.99690599999999996</c:v>
                </c:pt>
                <c:pt idx="180">
                  <c:v>0.99690599999999996</c:v>
                </c:pt>
                <c:pt idx="181">
                  <c:v>0.996977</c:v>
                </c:pt>
                <c:pt idx="182">
                  <c:v>0.99750099999999997</c:v>
                </c:pt>
                <c:pt idx="183">
                  <c:v>0.99785500000000005</c:v>
                </c:pt>
                <c:pt idx="184">
                  <c:v>0.99785500000000005</c:v>
                </c:pt>
                <c:pt idx="185">
                  <c:v>0.99785500000000005</c:v>
                </c:pt>
                <c:pt idx="186">
                  <c:v>0.99785500000000005</c:v>
                </c:pt>
                <c:pt idx="187">
                  <c:v>0.99822200000000005</c:v>
                </c:pt>
                <c:pt idx="188">
                  <c:v>0.99855099999999997</c:v>
                </c:pt>
                <c:pt idx="189">
                  <c:v>0.99855099999999997</c:v>
                </c:pt>
                <c:pt idx="190">
                  <c:v>0.99855099999999997</c:v>
                </c:pt>
                <c:pt idx="191">
                  <c:v>0.99855099999999997</c:v>
                </c:pt>
                <c:pt idx="192">
                  <c:v>0.998722</c:v>
                </c:pt>
                <c:pt idx="193">
                  <c:v>0.99897000000000002</c:v>
                </c:pt>
                <c:pt idx="194">
                  <c:v>0.99902899999999994</c:v>
                </c:pt>
                <c:pt idx="195">
                  <c:v>0.99902899999999994</c:v>
                </c:pt>
                <c:pt idx="196">
                  <c:v>0.99902899999999994</c:v>
                </c:pt>
                <c:pt idx="197">
                  <c:v>0.99909000000000003</c:v>
                </c:pt>
                <c:pt idx="198">
                  <c:v>0.99934900000000004</c:v>
                </c:pt>
                <c:pt idx="199">
                  <c:v>0.99953999999999998</c:v>
                </c:pt>
                <c:pt idx="200">
                  <c:v>0.99953999999999998</c:v>
                </c:pt>
                <c:pt idx="201">
                  <c:v>0.99953999999999998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5-48BE-BD37-FFDD51E73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185775"/>
        <c:axId val="1631908031"/>
      </c:lineChart>
      <c:catAx>
        <c:axId val="1630185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1908031"/>
        <c:crosses val="autoZero"/>
        <c:auto val="1"/>
        <c:lblAlgn val="ctr"/>
        <c:lblOffset val="100"/>
        <c:noMultiLvlLbl val="0"/>
      </c:catAx>
      <c:valAx>
        <c:axId val="1631908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0185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26089</xdr:colOff>
      <xdr:row>2</xdr:row>
      <xdr:rowOff>7442</xdr:rowOff>
    </xdr:from>
    <xdr:to>
      <xdr:col>7</xdr:col>
      <xdr:colOff>11206</xdr:colOff>
      <xdr:row>4</xdr:row>
      <xdr:rowOff>0</xdr:rowOff>
    </xdr:to>
    <xdr:sp macro="[0]!BoutonTrinomial_Click" textlink="">
      <xdr:nvSpPr>
        <xdr:cNvPr id="5" name="Button 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4654118" y="590148"/>
          <a:ext cx="590235" cy="373558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Price</a:t>
          </a:r>
        </a:p>
      </xdr:txBody>
    </xdr:sp>
    <xdr:clientData fPrintsWithSheet="0"/>
  </xdr:twoCellAnchor>
  <xdr:twoCellAnchor>
    <xdr:from>
      <xdr:col>8</xdr:col>
      <xdr:colOff>22412</xdr:colOff>
      <xdr:row>2</xdr:row>
      <xdr:rowOff>11206</xdr:rowOff>
    </xdr:from>
    <xdr:to>
      <xdr:col>9</xdr:col>
      <xdr:colOff>0</xdr:colOff>
      <xdr:row>4</xdr:row>
      <xdr:rowOff>11206</xdr:rowOff>
    </xdr:to>
    <xdr:sp macro="[0]!BoutonBlackScholes_Click" textlink="">
      <xdr:nvSpPr>
        <xdr:cNvPr id="7" name="Button 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7351059" y="593912"/>
          <a:ext cx="818029" cy="3810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Price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0</xdr:rowOff>
        </xdr:from>
        <xdr:to>
          <xdr:col>11</xdr:col>
          <xdr:colOff>0</xdr:colOff>
          <xdr:row>4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722459</xdr:colOff>
      <xdr:row>26</xdr:row>
      <xdr:rowOff>75759</xdr:rowOff>
    </xdr:from>
    <xdr:to>
      <xdr:col>2</xdr:col>
      <xdr:colOff>823632</xdr:colOff>
      <xdr:row>26</xdr:row>
      <xdr:rowOff>537882</xdr:rowOff>
    </xdr:to>
    <xdr:sp macro="[0]!BoutonConvergenceNbSteps_Click" textlink="">
      <xdr:nvSpPr>
        <xdr:cNvPr id="6" name="Button 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372400" y="7348377"/>
          <a:ext cx="1658791" cy="462123"/>
        </a:xfrm>
        <a:prstGeom prst="rect">
          <a:avLst/>
        </a:prstGeom>
        <a:solidFill>
          <a:schemeClr val="bg2">
            <a:lumMod val="75000"/>
          </a:schemeClr>
        </a:solidFill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Calibri"/>
              <a:cs typeface="Calibri"/>
            </a:rPr>
            <a:t>Analyse convergence steps</a:t>
          </a:r>
        </a:p>
      </xdr:txBody>
    </xdr:sp>
    <xdr:clientData fPrintsWithSheet="0"/>
  </xdr:twoCellAnchor>
  <xdr:twoCellAnchor>
    <xdr:from>
      <xdr:col>1</xdr:col>
      <xdr:colOff>683559</xdr:colOff>
      <xdr:row>28</xdr:row>
      <xdr:rowOff>67237</xdr:rowOff>
    </xdr:from>
    <xdr:to>
      <xdr:col>2</xdr:col>
      <xdr:colOff>834839</xdr:colOff>
      <xdr:row>28</xdr:row>
      <xdr:rowOff>565899</xdr:rowOff>
    </xdr:to>
    <xdr:sp macro="[0]!BoutonConvergenceStrike_Click" textlink="">
      <xdr:nvSpPr>
        <xdr:cNvPr id="3" name="Button 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333500" y="7978590"/>
          <a:ext cx="1798545" cy="498662"/>
        </a:xfrm>
        <a:prstGeom prst="rect">
          <a:avLst/>
        </a:prstGeom>
        <a:solidFill>
          <a:schemeClr val="bg2">
            <a:lumMod val="75000"/>
          </a:schemeClr>
        </a:solidFill>
        <a:ln w="9525">
          <a:solidFill>
            <a:schemeClr val="bg1"/>
          </a:solidFill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fr-FR" sz="11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Calibri"/>
              <a:cs typeface="Calibri"/>
            </a:rPr>
            <a:t>Analyse convergence strike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340179</xdr:colOff>
      <xdr:row>1</xdr:row>
      <xdr:rowOff>136072</xdr:rowOff>
    </xdr:from>
    <xdr:to>
      <xdr:col>19</xdr:col>
      <xdr:colOff>544286</xdr:colOff>
      <xdr:row>31</xdr:row>
      <xdr:rowOff>40822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313765</xdr:colOff>
      <xdr:row>2</xdr:row>
      <xdr:rowOff>101971</xdr:rowOff>
    </xdr:from>
    <xdr:to>
      <xdr:col>21</xdr:col>
      <xdr:colOff>145676</xdr:colOff>
      <xdr:row>27</xdr:row>
      <xdr:rowOff>22412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114300</xdr:rowOff>
    </xdr:from>
    <xdr:to>
      <xdr:col>14</xdr:col>
      <xdr:colOff>495300</xdr:colOff>
      <xdr:row>13</xdr:row>
      <xdr:rowOff>171450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094A8-0641-48DB-B8BA-8E02619C64F7}">
  <sheetPr codeName="Feuil1"/>
  <dimension ref="A1:BH29"/>
  <sheetViews>
    <sheetView tabSelected="1" topLeftCell="A8" zoomScale="85" zoomScaleNormal="85" workbookViewId="0">
      <selection activeCell="I26" sqref="I26"/>
    </sheetView>
  </sheetViews>
  <sheetFormatPr baseColWidth="10" defaultColWidth="9.140625" defaultRowHeight="15" x14ac:dyDescent="0.25"/>
  <cols>
    <col min="1" max="1" width="9.7109375" style="29" customWidth="1"/>
    <col min="2" max="2" width="24.7109375" style="29" bestFit="1" customWidth="1"/>
    <col min="3" max="3" width="15.7109375" style="29" bestFit="1" customWidth="1"/>
    <col min="4" max="4" width="6.28515625" style="29" customWidth="1"/>
    <col min="5" max="6" width="9.140625" style="29"/>
    <col min="7" max="7" width="12.7109375" style="29" customWidth="1"/>
    <col min="8" max="8" width="27.85546875" style="29" customWidth="1"/>
    <col min="9" max="9" width="12.7109375" style="29" customWidth="1"/>
    <col min="10" max="10" width="29.7109375" style="29" customWidth="1"/>
    <col min="11" max="11" width="12.28515625" style="29" customWidth="1"/>
    <col min="12" max="12" width="33" style="29" customWidth="1"/>
    <col min="13" max="60" width="9.140625" style="29"/>
  </cols>
  <sheetData>
    <row r="1" spans="1:12" s="29" customFormat="1" ht="12" customHeight="1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 ht="36" customHeight="1" thickBot="1" x14ac:dyDescent="0.3">
      <c r="A2" s="51" t="s">
        <v>9</v>
      </c>
      <c r="B2" s="83" t="s">
        <v>6</v>
      </c>
      <c r="C2" s="84"/>
      <c r="D2" s="85"/>
      <c r="E2" s="92"/>
      <c r="F2" s="89" t="s">
        <v>12</v>
      </c>
      <c r="G2" s="98" t="s">
        <v>23</v>
      </c>
      <c r="H2" s="61"/>
      <c r="I2" s="60" t="s">
        <v>24</v>
      </c>
      <c r="J2" s="61"/>
      <c r="K2" s="60" t="s">
        <v>32</v>
      </c>
      <c r="L2" s="61"/>
    </row>
    <row r="3" spans="1:12" ht="20.25" customHeight="1" x14ac:dyDescent="0.25">
      <c r="A3" s="52"/>
      <c r="B3" s="9" t="s">
        <v>10</v>
      </c>
      <c r="C3" s="25">
        <v>0.02</v>
      </c>
      <c r="D3" s="10"/>
      <c r="E3" s="92"/>
      <c r="F3" s="90"/>
      <c r="G3" s="18"/>
      <c r="H3" s="99" t="s">
        <v>50</v>
      </c>
      <c r="I3" s="15"/>
      <c r="J3" s="62" t="s">
        <v>48</v>
      </c>
      <c r="K3" s="15"/>
      <c r="L3" s="79">
        <v>12.391856389850398</v>
      </c>
    </row>
    <row r="4" spans="1:12" ht="23.25" customHeight="1" x14ac:dyDescent="0.25">
      <c r="A4" s="52"/>
      <c r="B4" s="9" t="s">
        <v>33</v>
      </c>
      <c r="C4" s="25">
        <v>0.3</v>
      </c>
      <c r="D4" s="10"/>
      <c r="E4" s="92"/>
      <c r="F4" s="90"/>
      <c r="G4" s="19"/>
      <c r="H4" s="100"/>
      <c r="I4" s="24"/>
      <c r="J4" s="63"/>
      <c r="K4" s="24"/>
      <c r="L4" s="80"/>
    </row>
    <row r="5" spans="1:12" ht="33" customHeight="1" thickBot="1" x14ac:dyDescent="0.3">
      <c r="A5" s="52"/>
      <c r="B5" s="11" t="s">
        <v>34</v>
      </c>
      <c r="C5" s="26">
        <v>100</v>
      </c>
      <c r="D5" s="10" t="s">
        <v>0</v>
      </c>
      <c r="E5" s="92"/>
      <c r="F5" s="90"/>
      <c r="G5" s="20" t="s">
        <v>31</v>
      </c>
      <c r="H5" s="23">
        <v>1.3251953125</v>
      </c>
      <c r="I5" s="16" t="s">
        <v>31</v>
      </c>
      <c r="J5" s="17">
        <v>1.17724609375</v>
      </c>
      <c r="K5" s="16" t="s">
        <v>31</v>
      </c>
      <c r="L5" s="17">
        <v>0.60546875</v>
      </c>
    </row>
    <row r="6" spans="1:12" ht="56.1" customHeight="1" thickBot="1" x14ac:dyDescent="0.3">
      <c r="A6" s="52"/>
      <c r="B6" s="9" t="s">
        <v>3</v>
      </c>
      <c r="C6" s="26">
        <v>0</v>
      </c>
      <c r="D6" s="30" t="s">
        <v>0</v>
      </c>
      <c r="E6" s="92"/>
      <c r="F6" s="90"/>
      <c r="G6" s="21" t="s">
        <v>36</v>
      </c>
      <c r="H6" s="34">
        <f>3/8*StartPrice/SQRT(2*PI())*(EXP(Volatility^2*TimeToExpiry/Nb_Steps)-1)*EXP(2*Rate*TimeToExpiry/Nb_Steps)/SQRT(EXP(Volatility^2*TimeToExpiry)-1)</f>
        <v>7.3231016185588017E-3</v>
      </c>
      <c r="I6" s="67"/>
      <c r="J6" s="65"/>
      <c r="K6" s="65"/>
      <c r="L6" s="66"/>
    </row>
    <row r="7" spans="1:12" ht="33" customHeight="1" thickBot="1" x14ac:dyDescent="0.3">
      <c r="A7" s="52"/>
      <c r="B7" s="12" t="s">
        <v>4</v>
      </c>
      <c r="C7" s="13">
        <v>45352</v>
      </c>
      <c r="D7" s="14"/>
      <c r="E7" s="92"/>
      <c r="F7" s="90"/>
      <c r="G7" s="64" t="s">
        <v>30</v>
      </c>
      <c r="H7" s="65"/>
      <c r="I7" s="65"/>
      <c r="J7" s="65"/>
      <c r="K7" s="65"/>
      <c r="L7" s="66"/>
    </row>
    <row r="8" spans="1:12" ht="15.75" thickBot="1" x14ac:dyDescent="0.3">
      <c r="A8" s="52"/>
      <c r="B8" s="104"/>
      <c r="C8" s="105"/>
      <c r="D8" s="106"/>
      <c r="E8" s="92"/>
      <c r="F8" s="90"/>
      <c r="G8" s="81" t="s">
        <v>25</v>
      </c>
      <c r="H8" s="82">
        <v>0.319193</v>
      </c>
      <c r="I8" s="81" t="s">
        <v>25</v>
      </c>
      <c r="J8" s="82">
        <v>0.33524100000000001</v>
      </c>
      <c r="K8" s="68"/>
      <c r="L8" s="69"/>
    </row>
    <row r="9" spans="1:12" ht="16.5" thickBot="1" x14ac:dyDescent="0.3">
      <c r="A9" s="52"/>
      <c r="B9" s="86" t="s">
        <v>5</v>
      </c>
      <c r="C9" s="87"/>
      <c r="D9" s="88"/>
      <c r="E9" s="92"/>
      <c r="F9" s="90"/>
      <c r="G9" s="74"/>
      <c r="H9" s="76"/>
      <c r="I9" s="74"/>
      <c r="J9" s="76"/>
      <c r="K9" s="70"/>
      <c r="L9" s="71"/>
    </row>
    <row r="10" spans="1:12" x14ac:dyDescent="0.25">
      <c r="A10" s="52"/>
      <c r="B10" s="7" t="s">
        <v>1</v>
      </c>
      <c r="C10" s="22" t="s">
        <v>13</v>
      </c>
      <c r="D10" s="8"/>
      <c r="E10" s="92"/>
      <c r="F10" s="90"/>
      <c r="G10" s="74" t="s">
        <v>26</v>
      </c>
      <c r="H10" s="76">
        <v>0</v>
      </c>
      <c r="I10" s="74" t="s">
        <v>26</v>
      </c>
      <c r="J10" s="76">
        <v>1.5972E-2</v>
      </c>
      <c r="K10" s="70"/>
      <c r="L10" s="71"/>
    </row>
    <row r="11" spans="1:12" x14ac:dyDescent="0.25">
      <c r="A11" s="52"/>
      <c r="B11" s="1" t="s">
        <v>38</v>
      </c>
      <c r="C11" s="27" t="s">
        <v>18</v>
      </c>
      <c r="D11" s="2"/>
      <c r="E11" s="92"/>
      <c r="F11" s="90"/>
      <c r="G11" s="74"/>
      <c r="H11" s="76"/>
      <c r="I11" s="74"/>
      <c r="J11" s="76"/>
      <c r="K11" s="70"/>
      <c r="L11" s="71"/>
    </row>
    <row r="12" spans="1:12" x14ac:dyDescent="0.25">
      <c r="A12" s="52"/>
      <c r="B12" s="1" t="s">
        <v>35</v>
      </c>
      <c r="C12" s="28">
        <v>101</v>
      </c>
      <c r="D12" s="2" t="s">
        <v>0</v>
      </c>
      <c r="E12" s="92"/>
      <c r="F12" s="90"/>
      <c r="G12" s="74" t="s">
        <v>27</v>
      </c>
      <c r="H12" s="76">
        <v>32.616298999999998</v>
      </c>
      <c r="I12" s="74" t="s">
        <v>27</v>
      </c>
      <c r="J12" s="76">
        <v>33.257401999999999</v>
      </c>
      <c r="K12" s="70"/>
      <c r="L12" s="71"/>
    </row>
    <row r="13" spans="1:12" x14ac:dyDescent="0.25">
      <c r="A13" s="52"/>
      <c r="B13" s="1" t="s">
        <v>7</v>
      </c>
      <c r="C13" s="35">
        <v>45536</v>
      </c>
      <c r="D13" s="2"/>
      <c r="E13" s="92"/>
      <c r="F13" s="90"/>
      <c r="G13" s="74"/>
      <c r="H13" s="76"/>
      <c r="I13" s="74"/>
      <c r="J13" s="76"/>
      <c r="K13" s="70"/>
      <c r="L13" s="71"/>
    </row>
    <row r="14" spans="1:12" ht="15.75" thickBot="1" x14ac:dyDescent="0.3">
      <c r="A14" s="52"/>
      <c r="B14" s="3" t="s">
        <v>37</v>
      </c>
      <c r="C14" s="33">
        <f>(Maturity-AsOfDate)/365</f>
        <v>1.0027397260273974</v>
      </c>
      <c r="D14" s="4"/>
      <c r="E14" s="92"/>
      <c r="F14" s="90"/>
      <c r="G14" s="74" t="s">
        <v>28</v>
      </c>
      <c r="H14" s="76">
        <v>22.711347</v>
      </c>
      <c r="I14" s="74" t="s">
        <v>28</v>
      </c>
      <c r="J14" s="76">
        <v>24.178063999999999</v>
      </c>
      <c r="K14" s="70"/>
      <c r="L14" s="71"/>
    </row>
    <row r="15" spans="1:12" ht="16.5" thickBot="1" x14ac:dyDescent="0.3">
      <c r="A15" s="52"/>
      <c r="B15" s="101" t="s">
        <v>8</v>
      </c>
      <c r="C15" s="102"/>
      <c r="D15" s="103"/>
      <c r="E15" s="92"/>
      <c r="F15" s="90"/>
      <c r="G15" s="74"/>
      <c r="H15" s="76"/>
      <c r="I15" s="74"/>
      <c r="J15" s="76"/>
      <c r="K15" s="70"/>
      <c r="L15" s="71"/>
    </row>
    <row r="16" spans="1:12" x14ac:dyDescent="0.25">
      <c r="A16" s="52"/>
      <c r="B16" s="7" t="s">
        <v>2</v>
      </c>
      <c r="C16" s="36">
        <v>45170</v>
      </c>
      <c r="D16" s="8"/>
      <c r="E16" s="92"/>
      <c r="F16" s="90"/>
      <c r="G16" s="74" t="s">
        <v>29</v>
      </c>
      <c r="H16" s="76">
        <v>-1.492677</v>
      </c>
      <c r="I16" s="74" t="s">
        <v>29</v>
      </c>
      <c r="J16" s="76">
        <v>-5.5719370000000001</v>
      </c>
      <c r="K16" s="70"/>
      <c r="L16" s="71"/>
    </row>
    <row r="17" spans="1:12" ht="29.1" customHeight="1" thickBot="1" x14ac:dyDescent="0.3">
      <c r="A17" s="52"/>
      <c r="B17" s="1" t="s">
        <v>22</v>
      </c>
      <c r="C17" s="31">
        <v>600</v>
      </c>
      <c r="D17" s="2"/>
      <c r="E17" s="92"/>
      <c r="F17" s="91"/>
      <c r="G17" s="75"/>
      <c r="H17" s="77"/>
      <c r="I17" s="75"/>
      <c r="J17" s="77"/>
      <c r="K17" s="72"/>
      <c r="L17" s="73"/>
    </row>
    <row r="18" spans="1:12" x14ac:dyDescent="0.25">
      <c r="A18" s="52"/>
      <c r="B18" s="1" t="s">
        <v>19</v>
      </c>
      <c r="C18" s="32" t="s">
        <v>49</v>
      </c>
      <c r="D18" s="2"/>
      <c r="E18" s="92"/>
    </row>
    <row r="19" spans="1:12" ht="15.75" thickBot="1" x14ac:dyDescent="0.3">
      <c r="A19" s="52"/>
      <c r="B19" s="3" t="s">
        <v>44</v>
      </c>
      <c r="C19" s="6">
        <f>10^(-3)</f>
        <v>1E-3</v>
      </c>
      <c r="D19" s="4"/>
      <c r="E19" s="92"/>
    </row>
    <row r="20" spans="1:12" ht="31.5" customHeight="1" thickBot="1" x14ac:dyDescent="0.3">
      <c r="A20" s="52"/>
      <c r="B20" s="95" t="s">
        <v>11</v>
      </c>
      <c r="C20" s="96"/>
      <c r="D20" s="97"/>
      <c r="E20" s="92"/>
    </row>
    <row r="21" spans="1:12" ht="15.75" thickBot="1" x14ac:dyDescent="0.3">
      <c r="A21" s="52"/>
      <c r="B21" s="3" t="s">
        <v>21</v>
      </c>
      <c r="C21" s="5" t="b">
        <v>0</v>
      </c>
      <c r="D21" s="4"/>
      <c r="E21" s="92"/>
    </row>
    <row r="22" spans="1:12" ht="35.25" customHeight="1" thickBot="1" x14ac:dyDescent="0.3">
      <c r="A22" s="52"/>
      <c r="B22" s="54" t="s">
        <v>51</v>
      </c>
      <c r="C22" s="55"/>
      <c r="D22" s="56"/>
    </row>
    <row r="23" spans="1:12" ht="16.5" customHeight="1" x14ac:dyDescent="0.25">
      <c r="A23" s="52"/>
      <c r="B23" s="7" t="s">
        <v>52</v>
      </c>
      <c r="C23" s="46">
        <v>4.0000000000000001E-3</v>
      </c>
      <c r="D23" s="8"/>
    </row>
    <row r="24" spans="1:12" ht="15.75" thickBot="1" x14ac:dyDescent="0.3">
      <c r="A24" s="53"/>
      <c r="B24" s="3" t="s">
        <v>53</v>
      </c>
      <c r="C24" s="47">
        <f>(3*(Vol)^2*TimeToExpiry)/(8*SQRT(2*PI())*Gap*SQRT(EXP((Vol)^2*TimeToExpiry)-1))</f>
        <v>10.983092105777146</v>
      </c>
      <c r="D24" s="4"/>
    </row>
    <row r="25" spans="1:12" ht="16.5" thickBot="1" x14ac:dyDescent="0.3">
      <c r="A25" s="48" t="s">
        <v>39</v>
      </c>
      <c r="B25" s="93" t="s">
        <v>40</v>
      </c>
      <c r="C25" s="93"/>
      <c r="D25" s="94"/>
    </row>
    <row r="26" spans="1:12" ht="14.25" customHeight="1" thickBot="1" x14ac:dyDescent="0.3">
      <c r="A26" s="49"/>
      <c r="B26" s="43" t="s">
        <v>16</v>
      </c>
      <c r="C26" s="44">
        <v>500</v>
      </c>
      <c r="D26" s="45"/>
    </row>
    <row r="27" spans="1:12" ht="48.6" customHeight="1" thickBot="1" x14ac:dyDescent="0.3">
      <c r="A27" s="49"/>
      <c r="B27" s="40"/>
      <c r="C27" s="41"/>
      <c r="D27" s="42"/>
    </row>
    <row r="28" spans="1:12" ht="16.5" thickBot="1" x14ac:dyDescent="0.3">
      <c r="A28" s="49"/>
      <c r="B28" s="57" t="s">
        <v>41</v>
      </c>
      <c r="C28" s="58"/>
      <c r="D28" s="59"/>
    </row>
    <row r="29" spans="1:12" ht="52.5" customHeight="1" thickBot="1" x14ac:dyDescent="0.3">
      <c r="A29" s="50"/>
      <c r="B29" s="37"/>
      <c r="C29" s="38"/>
      <c r="D29" s="39"/>
    </row>
  </sheetData>
  <mergeCells count="42">
    <mergeCell ref="B25:D25"/>
    <mergeCell ref="B20:D20"/>
    <mergeCell ref="G2:H2"/>
    <mergeCell ref="H3:H4"/>
    <mergeCell ref="B15:D15"/>
    <mergeCell ref="H16:H17"/>
    <mergeCell ref="B8:D8"/>
    <mergeCell ref="G14:G15"/>
    <mergeCell ref="G16:G17"/>
    <mergeCell ref="H12:H13"/>
    <mergeCell ref="H14:H15"/>
    <mergeCell ref="I12:I13"/>
    <mergeCell ref="B2:D2"/>
    <mergeCell ref="B9:D9"/>
    <mergeCell ref="J12:J13"/>
    <mergeCell ref="F2:F17"/>
    <mergeCell ref="E2:E21"/>
    <mergeCell ref="I8:I9"/>
    <mergeCell ref="J8:J9"/>
    <mergeCell ref="I10:I11"/>
    <mergeCell ref="J10:J11"/>
    <mergeCell ref="A1:L1"/>
    <mergeCell ref="I2:J2"/>
    <mergeCell ref="L3:L4"/>
    <mergeCell ref="G8:G9"/>
    <mergeCell ref="H8:H9"/>
    <mergeCell ref="A25:A29"/>
    <mergeCell ref="A2:A24"/>
    <mergeCell ref="B22:D22"/>
    <mergeCell ref="B28:D28"/>
    <mergeCell ref="K2:L2"/>
    <mergeCell ref="J3:J4"/>
    <mergeCell ref="G7:L7"/>
    <mergeCell ref="I6:L6"/>
    <mergeCell ref="K8:L17"/>
    <mergeCell ref="I16:I17"/>
    <mergeCell ref="J16:J17"/>
    <mergeCell ref="I14:I15"/>
    <mergeCell ref="J14:J15"/>
    <mergeCell ref="G10:G11"/>
    <mergeCell ref="H10:H11"/>
    <mergeCell ref="G12:G13"/>
  </mergeCells>
  <dataValidations count="5">
    <dataValidation type="list" allowBlank="1" showInputMessage="1" showErrorMessage="1" sqref="C10" xr:uid="{68061AFF-B394-4E17-9B6A-87A10ED1E8D3}">
      <formula1>"Call,Put"</formula1>
    </dataValidation>
    <dataValidation type="list" allowBlank="1" showInputMessage="1" showErrorMessage="1" sqref="C11" xr:uid="{5A4D1AA8-CDAE-4265-87B9-54294301762C}">
      <formula1>"American,European"</formula1>
    </dataValidation>
    <dataValidation type="list" allowBlank="1" showInputMessage="1" showErrorMessage="1" sqref="C22" xr:uid="{6904643A-F735-46E4-9D03-B81C3E9AFC26}">
      <formula1>"Vrai,Faux"</formula1>
    </dataValidation>
    <dataValidation type="list" allowBlank="1" showInputMessage="1" showErrorMessage="1" sqref="C18" xr:uid="{5C82A580-7604-7649-A798-087CA9181D4D}">
      <formula1>"Oui,Non"</formula1>
    </dataValidation>
    <dataValidation type="list" allowBlank="1" showInputMessage="1" showErrorMessage="1" sqref="C21" xr:uid="{E56CB09C-297E-1441-A99C-1FCBE70DF216}">
      <formula1>"vrai,faux"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ain">
                <anchor moveWithCells="1" sizeWithCells="1">
                  <from>
                    <xdr:col>10</xdr:col>
                    <xdr:colOff>28575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6528-B6FB-0040-B082-142B16EE46BC}">
  <sheetPr codeName="Feuil2"/>
  <dimension ref="A1:D501"/>
  <sheetViews>
    <sheetView zoomScale="70" zoomScaleNormal="70" workbookViewId="0">
      <selection activeCell="B53" sqref="B53"/>
    </sheetView>
  </sheetViews>
  <sheetFormatPr baseColWidth="10" defaultRowHeight="15" x14ac:dyDescent="0.25"/>
  <cols>
    <col min="1" max="1" width="11.28515625" bestFit="1" customWidth="1"/>
    <col min="2" max="2" width="17.85546875" bestFit="1" customWidth="1"/>
    <col min="3" max="3" width="23.28515625" bestFit="1" customWidth="1"/>
    <col min="4" max="4" width="46" bestFit="1" customWidth="1"/>
  </cols>
  <sheetData>
    <row r="1" spans="1:4" x14ac:dyDescent="0.25">
      <c r="A1" t="s">
        <v>42</v>
      </c>
      <c r="B1" t="s">
        <v>14</v>
      </c>
      <c r="C1" t="s">
        <v>15</v>
      </c>
      <c r="D1" t="s">
        <v>43</v>
      </c>
    </row>
    <row r="2" spans="1:4" x14ac:dyDescent="0.25">
      <c r="A2">
        <v>1</v>
      </c>
      <c r="B2">
        <v>4.8071547803745789</v>
      </c>
      <c r="C2">
        <v>4.4945107035866663</v>
      </c>
      <c r="D2">
        <v>0.31264407678791262</v>
      </c>
    </row>
    <row r="3" spans="1:4" x14ac:dyDescent="0.25">
      <c r="A3">
        <v>2</v>
      </c>
      <c r="B3">
        <v>4.9636331559633877</v>
      </c>
      <c r="C3">
        <v>4.4945107035866663</v>
      </c>
      <c r="D3">
        <v>0.93824490475344291</v>
      </c>
    </row>
    <row r="4" spans="1:4" x14ac:dyDescent="0.25">
      <c r="A4">
        <v>3</v>
      </c>
      <c r="B4">
        <v>4.8652262881843198</v>
      </c>
      <c r="C4">
        <v>4.4945107035866663</v>
      </c>
      <c r="D4">
        <v>1.1121467537929606</v>
      </c>
    </row>
    <row r="5" spans="1:4" x14ac:dyDescent="0.25">
      <c r="A5">
        <v>4</v>
      </c>
      <c r="B5">
        <v>4.7451779106851371</v>
      </c>
      <c r="C5">
        <v>4.4945107035866663</v>
      </c>
      <c r="D5">
        <v>1.0026688283938832</v>
      </c>
    </row>
    <row r="6" spans="1:4" x14ac:dyDescent="0.25">
      <c r="A6">
        <v>5</v>
      </c>
      <c r="B6">
        <v>4.6389332566160952</v>
      </c>
      <c r="C6">
        <v>4.4945107035866663</v>
      </c>
      <c r="D6">
        <v>0.72211276514714484</v>
      </c>
    </row>
    <row r="7" spans="1:4" x14ac:dyDescent="0.25">
      <c r="A7">
        <v>6</v>
      </c>
      <c r="B7">
        <v>4.5492581761318593</v>
      </c>
      <c r="C7">
        <v>4.4945107035866663</v>
      </c>
      <c r="D7">
        <v>0.32848483527115846</v>
      </c>
    </row>
    <row r="8" spans="1:4" x14ac:dyDescent="0.25">
      <c r="A8">
        <v>7</v>
      </c>
      <c r="B8">
        <v>4.47350002964445</v>
      </c>
      <c r="C8">
        <v>4.4945107035866663</v>
      </c>
      <c r="D8">
        <v>-0.1470747175955136</v>
      </c>
    </row>
    <row r="9" spans="1:4" x14ac:dyDescent="0.25">
      <c r="A9">
        <v>8</v>
      </c>
      <c r="B9">
        <v>4.4087501330203924</v>
      </c>
      <c r="C9">
        <v>4.4945107035866663</v>
      </c>
      <c r="D9">
        <v>-0.68608456453019073</v>
      </c>
    </row>
    <row r="10" spans="1:4" x14ac:dyDescent="0.25">
      <c r="A10">
        <v>9</v>
      </c>
      <c r="B10">
        <v>4.3526850599403915</v>
      </c>
      <c r="C10">
        <v>4.4945107035866663</v>
      </c>
      <c r="D10">
        <v>-1.2764307928164733</v>
      </c>
    </row>
    <row r="11" spans="1:4" x14ac:dyDescent="0.25">
      <c r="A11">
        <v>10</v>
      </c>
      <c r="B11">
        <v>4.3035559227381119</v>
      </c>
      <c r="C11">
        <v>4.4945107035866663</v>
      </c>
      <c r="D11">
        <v>-1.9095478084855433</v>
      </c>
    </row>
    <row r="12" spans="1:4" x14ac:dyDescent="0.25">
      <c r="A12">
        <v>11</v>
      </c>
      <c r="B12">
        <v>4.3360186826223233</v>
      </c>
      <c r="C12">
        <v>4.4945107035866663</v>
      </c>
      <c r="D12">
        <v>-1.7434122306077731</v>
      </c>
    </row>
    <row r="13" spans="1:4" x14ac:dyDescent="0.25">
      <c r="A13">
        <v>12</v>
      </c>
      <c r="B13">
        <v>4.3891152293466718</v>
      </c>
      <c r="C13">
        <v>4.4945107035866663</v>
      </c>
      <c r="D13">
        <v>-1.2647456908799342</v>
      </c>
    </row>
    <row r="14" spans="1:4" x14ac:dyDescent="0.25">
      <c r="A14">
        <v>13</v>
      </c>
      <c r="B14">
        <v>4.4298428887406489</v>
      </c>
      <c r="C14">
        <v>4.4945107035866663</v>
      </c>
      <c r="D14">
        <v>-0.84068159299822565</v>
      </c>
    </row>
    <row r="15" spans="1:4" x14ac:dyDescent="0.25">
      <c r="A15">
        <v>14</v>
      </c>
      <c r="B15">
        <v>4.4610771927678972</v>
      </c>
      <c r="C15">
        <v>4.4945107035866663</v>
      </c>
      <c r="D15">
        <v>-0.46806915146276751</v>
      </c>
    </row>
    <row r="16" spans="1:4" x14ac:dyDescent="0.25">
      <c r="A16">
        <v>15</v>
      </c>
      <c r="B16">
        <v>4.4849291781134859</v>
      </c>
      <c r="C16">
        <v>4.4945107035866663</v>
      </c>
      <c r="D16">
        <v>-0.14372288209770545</v>
      </c>
    </row>
    <row r="17" spans="1:4" x14ac:dyDescent="0.25">
      <c r="A17">
        <v>16</v>
      </c>
      <c r="B17">
        <v>4.502974944866728</v>
      </c>
      <c r="C17">
        <v>4.4945107035866663</v>
      </c>
      <c r="D17">
        <v>0.13542786048098776</v>
      </c>
    </row>
    <row r="18" spans="1:4" x14ac:dyDescent="0.25">
      <c r="A18">
        <v>17</v>
      </c>
      <c r="B18">
        <v>4.5164090079008998</v>
      </c>
      <c r="C18">
        <v>4.4945107035866663</v>
      </c>
      <c r="D18">
        <v>0.37227117334197057</v>
      </c>
    </row>
    <row r="19" spans="1:4" x14ac:dyDescent="0.25">
      <c r="A19">
        <v>18</v>
      </c>
      <c r="B19">
        <v>4.5261488942280135</v>
      </c>
      <c r="C19">
        <v>4.4945107035866663</v>
      </c>
      <c r="D19">
        <v>0.56948743154424974</v>
      </c>
    </row>
    <row r="20" spans="1:4" x14ac:dyDescent="0.25">
      <c r="A20">
        <v>19</v>
      </c>
      <c r="B20">
        <v>4.5329078695475049</v>
      </c>
      <c r="C20">
        <v>4.4945107035866663</v>
      </c>
      <c r="D20">
        <v>0.72954615325593419</v>
      </c>
    </row>
    <row r="21" spans="1:4" x14ac:dyDescent="0.25">
      <c r="A21">
        <v>20</v>
      </c>
      <c r="B21">
        <v>4.5372464025890258</v>
      </c>
      <c r="C21">
        <v>4.4945107035866663</v>
      </c>
      <c r="D21">
        <v>0.85471398004719035</v>
      </c>
    </row>
    <row r="22" spans="1:4" x14ac:dyDescent="0.25">
      <c r="A22">
        <v>21</v>
      </c>
      <c r="B22">
        <v>4.539609173696129</v>
      </c>
      <c r="C22">
        <v>4.4945107035866663</v>
      </c>
      <c r="D22">
        <v>0.94706787229871825</v>
      </c>
    </row>
    <row r="23" spans="1:4" x14ac:dyDescent="0.25">
      <c r="A23">
        <v>22</v>
      </c>
      <c r="B23">
        <v>4.5403520818601377</v>
      </c>
      <c r="C23">
        <v>4.4945107035866663</v>
      </c>
      <c r="D23">
        <v>1.008510322016372</v>
      </c>
    </row>
    <row r="24" spans="1:4" x14ac:dyDescent="0.25">
      <c r="A24">
        <v>23</v>
      </c>
      <c r="B24">
        <v>4.5397622196033298</v>
      </c>
      <c r="C24">
        <v>4.4945107035866663</v>
      </c>
      <c r="D24">
        <v>1.0407848683832617</v>
      </c>
    </row>
    <row r="25" spans="1:4" x14ac:dyDescent="0.25">
      <c r="A25">
        <v>24</v>
      </c>
      <c r="B25">
        <v>4.5380728296652029</v>
      </c>
      <c r="C25">
        <v>4.4945107035866663</v>
      </c>
      <c r="D25">
        <v>1.0454910258848784</v>
      </c>
    </row>
    <row r="26" spans="1:4" x14ac:dyDescent="0.25">
      <c r="A26">
        <v>25</v>
      </c>
      <c r="B26">
        <v>4.5354746314267222</v>
      </c>
      <c r="C26">
        <v>4.4945107035866663</v>
      </c>
      <c r="D26">
        <v>1.0240981960013995</v>
      </c>
    </row>
    <row r="27" spans="1:4" x14ac:dyDescent="0.25">
      <c r="A27">
        <v>26</v>
      </c>
      <c r="B27">
        <v>4.5321244878635856</v>
      </c>
      <c r="C27">
        <v>4.4945107035866663</v>
      </c>
      <c r="D27">
        <v>0.97795839119990191</v>
      </c>
    </row>
    <row r="28" spans="1:4" x14ac:dyDescent="0.25">
      <c r="A28">
        <v>27</v>
      </c>
      <c r="B28">
        <v>4.5281521013905541</v>
      </c>
      <c r="C28">
        <v>4.4945107035866663</v>
      </c>
      <c r="D28">
        <v>0.90831774070497229</v>
      </c>
    </row>
    <row r="29" spans="1:4" x14ac:dyDescent="0.25">
      <c r="A29">
        <v>28</v>
      </c>
      <c r="B29">
        <v>4.5236652329877494</v>
      </c>
      <c r="C29">
        <v>4.4945107035866663</v>
      </c>
      <c r="D29">
        <v>0.81632682323032668</v>
      </c>
    </row>
    <row r="30" spans="1:4" x14ac:dyDescent="0.25">
      <c r="A30">
        <v>29</v>
      </c>
      <c r="B30">
        <v>4.5187538038662103</v>
      </c>
      <c r="C30">
        <v>4.4945107035866663</v>
      </c>
      <c r="D30">
        <v>0.70304990810677648</v>
      </c>
    </row>
    <row r="31" spans="1:4" x14ac:dyDescent="0.25">
      <c r="A31">
        <v>30</v>
      </c>
      <c r="B31">
        <v>4.5134931436467536</v>
      </c>
      <c r="C31">
        <v>4.4945107035866663</v>
      </c>
      <c r="D31">
        <v>0.5694732018026194</v>
      </c>
    </row>
    <row r="32" spans="1:4" x14ac:dyDescent="0.25">
      <c r="A32">
        <v>31</v>
      </c>
      <c r="B32">
        <v>4.507946580996177</v>
      </c>
      <c r="C32">
        <v>4.4945107035866663</v>
      </c>
      <c r="D32">
        <v>0.41651219969483133</v>
      </c>
    </row>
    <row r="33" spans="1:4" x14ac:dyDescent="0.25">
      <c r="A33">
        <v>32</v>
      </c>
      <c r="B33">
        <v>4.5021675235703524</v>
      </c>
      <c r="C33">
        <v>4.4945107035866663</v>
      </c>
      <c r="D33">
        <v>0.24501823947795742</v>
      </c>
    </row>
    <row r="34" spans="1:4" x14ac:dyDescent="0.25">
      <c r="A34">
        <v>33</v>
      </c>
      <c r="B34">
        <v>4.4962011383098304</v>
      </c>
      <c r="C34">
        <v>4.4945107035866663</v>
      </c>
      <c r="D34">
        <v>5.5784345864415386E-2</v>
      </c>
    </row>
    <row r="35" spans="1:4" x14ac:dyDescent="0.25">
      <c r="A35">
        <v>34</v>
      </c>
      <c r="B35">
        <v>4.4900857167655834</v>
      </c>
      <c r="C35">
        <v>4.4945107035866663</v>
      </c>
      <c r="D35">
        <v>-0.1504495519168163</v>
      </c>
    </row>
    <row r="36" spans="1:4" x14ac:dyDescent="0.25">
      <c r="A36">
        <v>35</v>
      </c>
      <c r="B36">
        <v>4.4838537905328817</v>
      </c>
      <c r="C36">
        <v>4.4945107035866663</v>
      </c>
      <c r="D36">
        <v>-0.37299195688246023</v>
      </c>
    </row>
    <row r="37" spans="1:4" x14ac:dyDescent="0.25">
      <c r="A37">
        <v>36</v>
      </c>
      <c r="B37">
        <v>4.4775330471882864</v>
      </c>
      <c r="C37">
        <v>4.4945107035866663</v>
      </c>
      <c r="D37">
        <v>-0.61119563034167612</v>
      </c>
    </row>
    <row r="38" spans="1:4" x14ac:dyDescent="0.25">
      <c r="A38">
        <v>37</v>
      </c>
      <c r="B38">
        <v>4.4711470860162725</v>
      </c>
      <c r="C38">
        <v>4.4945107035866663</v>
      </c>
      <c r="D38">
        <v>-0.86445385010456821</v>
      </c>
    </row>
    <row r="39" spans="1:4" x14ac:dyDescent="0.25">
      <c r="A39">
        <v>38</v>
      </c>
      <c r="B39">
        <v>4.464716044363743</v>
      </c>
      <c r="C39">
        <v>4.4945107035866663</v>
      </c>
      <c r="D39">
        <v>-1.132197050471083</v>
      </c>
    </row>
    <row r="40" spans="1:4" x14ac:dyDescent="0.25">
      <c r="A40">
        <v>39</v>
      </c>
      <c r="B40">
        <v>4.4582571189758555</v>
      </c>
      <c r="C40">
        <v>4.4945107035866663</v>
      </c>
      <c r="D40">
        <v>-1.4138897998216189</v>
      </c>
    </row>
    <row r="41" spans="1:4" x14ac:dyDescent="0.25">
      <c r="A41">
        <v>40</v>
      </c>
      <c r="B41">
        <v>4.4517850016573259</v>
      </c>
      <c r="C41">
        <v>4.4945107035866663</v>
      </c>
      <c r="D41">
        <v>-1.7090280771736133</v>
      </c>
    </row>
    <row r="42" spans="1:4" x14ac:dyDescent="0.25">
      <c r="A42">
        <v>41</v>
      </c>
      <c r="B42">
        <v>4.4453122447194922</v>
      </c>
      <c r="C42">
        <v>4.4945107035866663</v>
      </c>
      <c r="D42">
        <v>-2.0171368135541385</v>
      </c>
    </row>
    <row r="43" spans="1:4" x14ac:dyDescent="0.25">
      <c r="A43">
        <v>42</v>
      </c>
      <c r="B43">
        <v>4.4500836409859952</v>
      </c>
      <c r="C43">
        <v>4.4945107035866663</v>
      </c>
      <c r="D43">
        <v>-1.8659366292281856</v>
      </c>
    </row>
    <row r="44" spans="1:4" x14ac:dyDescent="0.25">
      <c r="A44">
        <v>43</v>
      </c>
      <c r="B44">
        <v>4.457358987955014</v>
      </c>
      <c r="C44">
        <v>4.4945107035866663</v>
      </c>
      <c r="D44">
        <v>-1.5975237721610496</v>
      </c>
    </row>
    <row r="45" spans="1:4" x14ac:dyDescent="0.25">
      <c r="A45">
        <v>44</v>
      </c>
      <c r="B45">
        <v>4.4639648023082774</v>
      </c>
      <c r="C45">
        <v>4.4945107035866663</v>
      </c>
      <c r="D45">
        <v>-1.3440196562491096</v>
      </c>
    </row>
    <row r="46" spans="1:4" x14ac:dyDescent="0.25">
      <c r="A46">
        <v>45</v>
      </c>
      <c r="B46">
        <v>4.4699528290517669</v>
      </c>
      <c r="C46">
        <v>4.4945107035866663</v>
      </c>
      <c r="D46">
        <v>-1.1051043540704697</v>
      </c>
    </row>
    <row r="47" spans="1:4" x14ac:dyDescent="0.25">
      <c r="A47">
        <v>46</v>
      </c>
      <c r="B47">
        <v>4.4753701823219538</v>
      </c>
      <c r="C47">
        <v>4.4945107035866663</v>
      </c>
      <c r="D47">
        <v>-0.88046397817677224</v>
      </c>
    </row>
    <row r="48" spans="1:4" x14ac:dyDescent="0.25">
      <c r="A48">
        <v>47</v>
      </c>
      <c r="B48">
        <v>4.480259828051782</v>
      </c>
      <c r="C48">
        <v>4.4945107035866663</v>
      </c>
      <c r="D48">
        <v>-0.66979115013955948</v>
      </c>
    </row>
    <row r="49" spans="1:4" x14ac:dyDescent="0.25">
      <c r="A49">
        <v>48</v>
      </c>
      <c r="B49">
        <v>4.4846610090912469</v>
      </c>
      <c r="C49">
        <v>4.4945107035866663</v>
      </c>
      <c r="D49">
        <v>-0.47278533578013082</v>
      </c>
    </row>
    <row r="50" spans="1:4" x14ac:dyDescent="0.25">
      <c r="A50">
        <v>49</v>
      </c>
      <c r="B50">
        <v>4.4886096204813795</v>
      </c>
      <c r="C50">
        <v>4.4945107035866663</v>
      </c>
      <c r="D50">
        <v>-0.28915307215905361</v>
      </c>
    </row>
    <row r="51" spans="1:4" x14ac:dyDescent="0.25">
      <c r="A51">
        <v>50</v>
      </c>
      <c r="B51">
        <v>4.492138541447515</v>
      </c>
      <c r="C51">
        <v>4.4945107035866663</v>
      </c>
      <c r="D51">
        <v>-0.11860810695756285</v>
      </c>
    </row>
    <row r="52" spans="1:4" x14ac:dyDescent="0.25">
      <c r="A52">
        <v>51</v>
      </c>
      <c r="B52">
        <v>4.4952779297366474</v>
      </c>
      <c r="C52">
        <v>4.4945107035866663</v>
      </c>
      <c r="D52">
        <v>3.9128533649038566E-2</v>
      </c>
    </row>
    <row r="53" spans="1:4" x14ac:dyDescent="0.25">
      <c r="A53">
        <v>52</v>
      </c>
      <c r="B53">
        <v>4.4980554830806954</v>
      </c>
      <c r="C53">
        <v>4.4945107035866663</v>
      </c>
      <c r="D53">
        <v>0.18432853368951285</v>
      </c>
    </row>
    <row r="54" spans="1:4" x14ac:dyDescent="0.25">
      <c r="A54">
        <v>53</v>
      </c>
      <c r="B54">
        <v>4.5004966719293238</v>
      </c>
      <c r="C54">
        <v>4.4945107035866663</v>
      </c>
      <c r="D54">
        <v>0.31725632216084865</v>
      </c>
    </row>
    <row r="55" spans="1:4" x14ac:dyDescent="0.25">
      <c r="A55">
        <v>54</v>
      </c>
      <c r="B55">
        <v>4.5026249469969803</v>
      </c>
      <c r="C55">
        <v>4.4945107035866663</v>
      </c>
      <c r="D55">
        <v>0.4381691441569604</v>
      </c>
    </row>
    <row r="56" spans="1:4" x14ac:dyDescent="0.25">
      <c r="A56">
        <v>55</v>
      </c>
      <c r="B56">
        <v>4.5044619246876829</v>
      </c>
      <c r="C56">
        <v>4.4945107035866663</v>
      </c>
      <c r="D56">
        <v>0.54731716055591573</v>
      </c>
    </row>
    <row r="57" spans="1:4" x14ac:dyDescent="0.25">
      <c r="A57">
        <v>56</v>
      </c>
      <c r="B57">
        <v>4.5060275530592646</v>
      </c>
      <c r="C57">
        <v>4.4945107035866663</v>
      </c>
      <c r="D57">
        <v>0.64494357046550732</v>
      </c>
    </row>
    <row r="58" spans="1:4" x14ac:dyDescent="0.25">
      <c r="A58">
        <v>57</v>
      </c>
      <c r="B58">
        <v>4.5073402606169033</v>
      </c>
      <c r="C58">
        <v>4.4945107035866663</v>
      </c>
      <c r="D58">
        <v>0.73128475072351051</v>
      </c>
    </row>
    <row r="59" spans="1:4" x14ac:dyDescent="0.25">
      <c r="A59">
        <v>58</v>
      </c>
      <c r="B59">
        <v>4.50841708993757</v>
      </c>
      <c r="C59">
        <v>4.4945107035866663</v>
      </c>
      <c r="D59">
        <v>0.80657040835241389</v>
      </c>
    </row>
    <row r="60" spans="1:4" x14ac:dyDescent="0.25">
      <c r="A60">
        <v>59</v>
      </c>
      <c r="B60">
        <v>4.5092738178639529</v>
      </c>
      <c r="C60">
        <v>4.4945107035866663</v>
      </c>
      <c r="D60">
        <v>0.87102374235990965</v>
      </c>
    </row>
    <row r="61" spans="1:4" x14ac:dyDescent="0.25">
      <c r="A61">
        <v>60</v>
      </c>
      <c r="B61">
        <v>4.5099250637966373</v>
      </c>
      <c r="C61">
        <v>4.4945107035866663</v>
      </c>
      <c r="D61">
        <v>0.92486161259826005</v>
      </c>
    </row>
    <row r="62" spans="1:4" x14ac:dyDescent="0.25">
      <c r="A62">
        <v>61</v>
      </c>
      <c r="B62">
        <v>4.5103843873940006</v>
      </c>
      <c r="C62">
        <v>4.4945107035866663</v>
      </c>
      <c r="D62">
        <v>0.96829471224739461</v>
      </c>
    </row>
    <row r="63" spans="1:4" x14ac:dyDescent="0.25">
      <c r="A63">
        <v>62</v>
      </c>
      <c r="B63">
        <v>4.510664376862854</v>
      </c>
      <c r="C63">
        <v>4.4945107035866663</v>
      </c>
      <c r="D63">
        <v>1.001527743123642</v>
      </c>
    </row>
    <row r="64" spans="1:4" x14ac:dyDescent="0.25">
      <c r="A64">
        <v>63</v>
      </c>
      <c r="B64">
        <v>4.5107767288466993</v>
      </c>
      <c r="C64">
        <v>4.4945107035866663</v>
      </c>
      <c r="D64">
        <v>1.0247595913820833</v>
      </c>
    </row>
    <row r="65" spans="1:4" x14ac:dyDescent="0.25">
      <c r="A65">
        <v>64</v>
      </c>
      <c r="B65">
        <v>4.5107323208237196</v>
      </c>
      <c r="C65">
        <v>4.4945107035866663</v>
      </c>
      <c r="D65">
        <v>1.0381835031714104</v>
      </c>
    </row>
    <row r="66" spans="1:4" x14ac:dyDescent="0.25">
      <c r="A66">
        <v>65</v>
      </c>
      <c r="B66">
        <v>4.510541276789839</v>
      </c>
      <c r="C66">
        <v>4.4945107035866663</v>
      </c>
      <c r="D66">
        <v>1.0419872582062251</v>
      </c>
    </row>
    <row r="67" spans="1:4" x14ac:dyDescent="0.25">
      <c r="A67">
        <v>66</v>
      </c>
      <c r="B67">
        <v>4.510213026944454</v>
      </c>
      <c r="C67">
        <v>4.4945107035866663</v>
      </c>
      <c r="D67">
        <v>1.0363533416139923</v>
      </c>
    </row>
    <row r="68" spans="1:4" x14ac:dyDescent="0.25">
      <c r="A68">
        <v>67</v>
      </c>
      <c r="B68">
        <v>4.5097563619812204</v>
      </c>
      <c r="C68">
        <v>4.4945107035866663</v>
      </c>
      <c r="D68">
        <v>1.0214591124351289</v>
      </c>
    </row>
    <row r="69" spans="1:4" x14ac:dyDescent="0.25">
      <c r="A69">
        <v>68</v>
      </c>
      <c r="B69">
        <v>4.5091794825437415</v>
      </c>
      <c r="C69">
        <v>4.4945107035866663</v>
      </c>
      <c r="D69">
        <v>0.99747696908111294</v>
      </c>
    </row>
    <row r="70" spans="1:4" x14ac:dyDescent="0.25">
      <c r="A70">
        <v>69</v>
      </c>
      <c r="B70">
        <v>4.5084900443185072</v>
      </c>
      <c r="C70">
        <v>4.4945107035866663</v>
      </c>
      <c r="D70">
        <v>0.96457451049702403</v>
      </c>
    </row>
    <row r="71" spans="1:4" x14ac:dyDescent="0.25">
      <c r="A71">
        <v>70</v>
      </c>
      <c r="B71">
        <v>4.5076951992111578</v>
      </c>
      <c r="C71">
        <v>4.4945107035866663</v>
      </c>
      <c r="D71">
        <v>0.92291469371440726</v>
      </c>
    </row>
    <row r="72" spans="1:4" x14ac:dyDescent="0.25">
      <c r="A72">
        <v>71</v>
      </c>
      <c r="B72">
        <v>4.5068016329789327</v>
      </c>
      <c r="C72">
        <v>4.4945107035866663</v>
      </c>
      <c r="D72">
        <v>0.87265598685091383</v>
      </c>
    </row>
    <row r="73" spans="1:4" x14ac:dyDescent="0.25">
      <c r="A73">
        <v>72</v>
      </c>
      <c r="B73">
        <v>4.5058155996675513</v>
      </c>
      <c r="C73">
        <v>4.4945107035866663</v>
      </c>
      <c r="D73">
        <v>0.81395251782372213</v>
      </c>
    </row>
    <row r="74" spans="1:4" x14ac:dyDescent="0.25">
      <c r="A74">
        <v>73</v>
      </c>
      <c r="B74">
        <v>4.504742953154377</v>
      </c>
      <c r="C74">
        <v>4.4945107035866663</v>
      </c>
      <c r="D74">
        <v>0.7469542184428839</v>
      </c>
    </row>
    <row r="75" spans="1:4" x14ac:dyDescent="0.25">
      <c r="A75">
        <v>74</v>
      </c>
      <c r="B75">
        <v>4.5035891760737536</v>
      </c>
      <c r="C75">
        <v>4.4945107035866663</v>
      </c>
      <c r="D75">
        <v>0.67180696404446572</v>
      </c>
    </row>
    <row r="76" spans="1:4" x14ac:dyDescent="0.25">
      <c r="A76">
        <v>75</v>
      </c>
      <c r="B76">
        <v>4.5023594063726637</v>
      </c>
      <c r="C76">
        <v>4.4945107035866663</v>
      </c>
      <c r="D76">
        <v>0.58865270894981059</v>
      </c>
    </row>
    <row r="77" spans="1:4" x14ac:dyDescent="0.25">
      <c r="A77">
        <v>76</v>
      </c>
      <c r="B77">
        <v>4.5010584617003158</v>
      </c>
      <c r="C77">
        <v>4.4945107035866663</v>
      </c>
      <c r="D77">
        <v>0.49762961663736149</v>
      </c>
    </row>
    <row r="78" spans="1:4" x14ac:dyDescent="0.25">
      <c r="A78">
        <v>77</v>
      </c>
      <c r="B78">
        <v>4.4996908618490856</v>
      </c>
      <c r="C78">
        <v>4.4945107035866663</v>
      </c>
      <c r="D78">
        <v>0.39887218620629028</v>
      </c>
    </row>
    <row r="79" spans="1:4" x14ac:dyDescent="0.25">
      <c r="A79">
        <v>78</v>
      </c>
      <c r="B79">
        <v>4.4982608494118823</v>
      </c>
      <c r="C79">
        <v>4.4945107035866663</v>
      </c>
      <c r="D79">
        <v>0.29251137436685148</v>
      </c>
    </row>
    <row r="80" spans="1:4" x14ac:dyDescent="0.25">
      <c r="A80">
        <v>79</v>
      </c>
      <c r="B80">
        <v>4.4967724088058016</v>
      </c>
      <c r="C80">
        <v>4.4945107035866663</v>
      </c>
      <c r="D80">
        <v>0.17867471231169496</v>
      </c>
    </row>
    <row r="81" spans="1:4" x14ac:dyDescent="0.25">
      <c r="A81">
        <v>80</v>
      </c>
      <c r="B81">
        <v>4.4952292838413044</v>
      </c>
      <c r="C81">
        <v>4.4945107035866663</v>
      </c>
      <c r="D81">
        <v>5.7486420371049007E-2</v>
      </c>
    </row>
    <row r="82" spans="1:4" x14ac:dyDescent="0.25">
      <c r="A82">
        <v>81</v>
      </c>
      <c r="B82">
        <v>4.4936349939083602</v>
      </c>
      <c r="C82">
        <v>4.4945107035866663</v>
      </c>
      <c r="D82">
        <v>-7.0932483942792501E-2</v>
      </c>
    </row>
    <row r="83" spans="1:4" x14ac:dyDescent="0.25">
      <c r="A83">
        <v>82</v>
      </c>
      <c r="B83">
        <v>4.4919928489519352</v>
      </c>
      <c r="C83">
        <v>4.4945107035866663</v>
      </c>
      <c r="D83">
        <v>-0.20646408004794914</v>
      </c>
    </row>
    <row r="84" spans="1:4" x14ac:dyDescent="0.25">
      <c r="A84">
        <v>83</v>
      </c>
      <c r="B84">
        <v>4.4903059633155999</v>
      </c>
      <c r="C84">
        <v>4.4945107035866663</v>
      </c>
      <c r="D84">
        <v>-0.34899344249850461</v>
      </c>
    </row>
    <row r="85" spans="1:4" x14ac:dyDescent="0.25">
      <c r="A85">
        <v>84</v>
      </c>
      <c r="B85">
        <v>4.4885772685449572</v>
      </c>
      <c r="C85">
        <v>4.4945107035866663</v>
      </c>
      <c r="D85">
        <v>-0.49840854350356167</v>
      </c>
    </row>
    <row r="86" spans="1:4" x14ac:dyDescent="0.25">
      <c r="A86">
        <v>85</v>
      </c>
      <c r="B86">
        <v>4.4868095252486384</v>
      </c>
      <c r="C86">
        <v>4.4945107035866663</v>
      </c>
      <c r="D86">
        <v>-0.65460015873236799</v>
      </c>
    </row>
    <row r="87" spans="1:4" x14ac:dyDescent="0.25">
      <c r="A87">
        <v>86</v>
      </c>
      <c r="B87">
        <v>4.4850053340924649</v>
      </c>
      <c r="C87">
        <v>4.4945107035866663</v>
      </c>
      <c r="D87">
        <v>-0.81746177650131457</v>
      </c>
    </row>
    <row r="88" spans="1:4" x14ac:dyDescent="0.25">
      <c r="A88">
        <v>87</v>
      </c>
      <c r="B88">
        <v>4.4831671459978519</v>
      </c>
      <c r="C88">
        <v>4.4945107035866663</v>
      </c>
      <c r="D88">
        <v>-0.98688951022684712</v>
      </c>
    </row>
    <row r="89" spans="1:4" x14ac:dyDescent="0.25">
      <c r="A89">
        <v>88</v>
      </c>
      <c r="B89">
        <v>4.4812972716015507</v>
      </c>
      <c r="C89">
        <v>4.4945107035866663</v>
      </c>
      <c r="D89">
        <v>-1.1627820146901726</v>
      </c>
    </row>
    <row r="90" spans="1:4" x14ac:dyDescent="0.25">
      <c r="A90">
        <v>89</v>
      </c>
      <c r="B90">
        <v>4.4793978900528275</v>
      </c>
      <c r="C90">
        <v>4.4945107035866663</v>
      </c>
      <c r="D90">
        <v>-1.3450404045116491</v>
      </c>
    </row>
    <row r="91" spans="1:4" x14ac:dyDescent="0.25">
      <c r="A91">
        <v>90</v>
      </c>
      <c r="B91">
        <v>4.4774710571790051</v>
      </c>
      <c r="C91">
        <v>4.4945107035866663</v>
      </c>
      <c r="D91">
        <v>-1.5335681766895082</v>
      </c>
    </row>
    <row r="92" spans="1:4" x14ac:dyDescent="0.25">
      <c r="A92">
        <v>91</v>
      </c>
      <c r="B92">
        <v>4.4755187130965117</v>
      </c>
      <c r="C92">
        <v>4.4945107035866663</v>
      </c>
      <c r="D92">
        <v>-1.7282711346040633</v>
      </c>
    </row>
    <row r="93" spans="1:4" x14ac:dyDescent="0.25">
      <c r="A93">
        <v>92</v>
      </c>
      <c r="B93">
        <v>4.473542689275253</v>
      </c>
      <c r="C93">
        <v>4.4945107035866663</v>
      </c>
      <c r="D93">
        <v>-1.9290573166500202</v>
      </c>
    </row>
    <row r="94" spans="1:4" x14ac:dyDescent="0.25">
      <c r="A94">
        <v>93</v>
      </c>
      <c r="B94">
        <v>4.4726628013814587</v>
      </c>
      <c r="C94">
        <v>4.4945107035866663</v>
      </c>
      <c r="D94">
        <v>-2.0318549050843071</v>
      </c>
    </row>
    <row r="95" spans="1:4" x14ac:dyDescent="0.25">
      <c r="A95">
        <v>94</v>
      </c>
      <c r="B95">
        <v>4.4749170227059984</v>
      </c>
      <c r="C95">
        <v>4.4945107035866663</v>
      </c>
      <c r="D95">
        <v>-1.841806002782775</v>
      </c>
    </row>
    <row r="96" spans="1:4" x14ac:dyDescent="0.25">
      <c r="A96">
        <v>95</v>
      </c>
      <c r="B96">
        <v>4.4770527977259276</v>
      </c>
      <c r="C96">
        <v>4.4945107035866663</v>
      </c>
      <c r="D96">
        <v>-1.6585010567701763</v>
      </c>
    </row>
    <row r="97" spans="1:4" x14ac:dyDescent="0.25">
      <c r="A97">
        <v>96</v>
      </c>
      <c r="B97">
        <v>4.4790745847913778</v>
      </c>
      <c r="C97">
        <v>4.4945107035866663</v>
      </c>
      <c r="D97">
        <v>-1.481867404347696</v>
      </c>
    </row>
    <row r="98" spans="1:4" x14ac:dyDescent="0.25">
      <c r="A98">
        <v>97</v>
      </c>
      <c r="B98">
        <v>4.4809866493500614</v>
      </c>
      <c r="C98">
        <v>4.4945107035866663</v>
      </c>
      <c r="D98">
        <v>-1.3118332609506709</v>
      </c>
    </row>
    <row r="99" spans="1:4" x14ac:dyDescent="0.25">
      <c r="A99">
        <v>98</v>
      </c>
      <c r="B99">
        <v>4.4827930737051123</v>
      </c>
      <c r="C99">
        <v>4.4945107035866663</v>
      </c>
      <c r="D99">
        <v>-1.1483277283922924</v>
      </c>
    </row>
    <row r="100" spans="1:4" x14ac:dyDescent="0.25">
      <c r="A100">
        <v>99</v>
      </c>
      <c r="B100">
        <v>4.4844977662266432</v>
      </c>
      <c r="C100">
        <v>4.4945107035866663</v>
      </c>
      <c r="D100">
        <v>-0.99128079864228358</v>
      </c>
    </row>
    <row r="101" spans="1:4" x14ac:dyDescent="0.25">
      <c r="A101">
        <v>100</v>
      </c>
      <c r="B101">
        <v>4.4861044700092041</v>
      </c>
      <c r="C101">
        <v>4.4945107035866663</v>
      </c>
      <c r="D101">
        <v>-0.84062335774621744</v>
      </c>
    </row>
    <row r="102" spans="1:4" x14ac:dyDescent="0.25">
      <c r="A102">
        <v>101</v>
      </c>
      <c r="B102">
        <v>4.4876167710436174</v>
      </c>
      <c r="C102">
        <v>4.4945107035866663</v>
      </c>
      <c r="D102">
        <v>-0.69628718684793078</v>
      </c>
    </row>
    <row r="103" spans="1:4" x14ac:dyDescent="0.25">
      <c r="A103">
        <v>102</v>
      </c>
      <c r="B103">
        <v>4.489038105914017</v>
      </c>
      <c r="C103">
        <v>4.4945107035866663</v>
      </c>
      <c r="D103">
        <v>-0.55820496261022789</v>
      </c>
    </row>
    <row r="104" spans="1:4" x14ac:dyDescent="0.25">
      <c r="A104">
        <v>103</v>
      </c>
      <c r="B104">
        <v>4.4903717690737075</v>
      </c>
      <c r="C104">
        <v>4.4945107035866663</v>
      </c>
      <c r="D104">
        <v>-0.42631025483475327</v>
      </c>
    </row>
    <row r="105" spans="1:4" x14ac:dyDescent="0.25">
      <c r="A105">
        <v>104</v>
      </c>
      <c r="B105">
        <v>4.4916209197029779</v>
      </c>
      <c r="C105">
        <v>4.4945107035866663</v>
      </c>
      <c r="D105">
        <v>-0.30053752390358568</v>
      </c>
    </row>
    <row r="106" spans="1:4" x14ac:dyDescent="0.25">
      <c r="A106">
        <v>105</v>
      </c>
      <c r="B106">
        <v>4.4927885881787244</v>
      </c>
      <c r="C106">
        <v>4.4945107035866663</v>
      </c>
      <c r="D106">
        <v>-0.18082211783389646</v>
      </c>
    </row>
    <row r="107" spans="1:4" x14ac:dyDescent="0.25">
      <c r="A107">
        <v>106</v>
      </c>
      <c r="B107">
        <v>4.4938776822093747</v>
      </c>
      <c r="C107">
        <v>4.4945107035866663</v>
      </c>
      <c r="D107">
        <v>-6.7100265992909414E-2</v>
      </c>
    </row>
    <row r="108" spans="1:4" x14ac:dyDescent="0.25">
      <c r="A108">
        <v>107</v>
      </c>
      <c r="B108">
        <v>4.4948909926123148</v>
      </c>
      <c r="C108">
        <v>4.4945107035866663</v>
      </c>
      <c r="D108">
        <v>4.0690925744397255E-2</v>
      </c>
    </row>
    <row r="109" spans="1:4" x14ac:dyDescent="0.25">
      <c r="A109">
        <v>108</v>
      </c>
      <c r="B109">
        <v>4.4958311987882231</v>
      </c>
      <c r="C109">
        <v>4.4945107035866663</v>
      </c>
      <c r="D109">
        <v>0.14261348176814082</v>
      </c>
    </row>
    <row r="110" spans="1:4" x14ac:dyDescent="0.25">
      <c r="A110">
        <v>109</v>
      </c>
      <c r="B110">
        <v>4.4967008738972618</v>
      </c>
      <c r="C110">
        <v>4.4945107035866663</v>
      </c>
      <c r="D110">
        <v>0.23872856385491392</v>
      </c>
    </row>
    <row r="111" spans="1:4" x14ac:dyDescent="0.25">
      <c r="A111">
        <v>110</v>
      </c>
      <c r="B111">
        <v>4.4975024897578528</v>
      </c>
      <c r="C111">
        <v>4.4945107035866663</v>
      </c>
      <c r="D111">
        <v>0.32909647883052173</v>
      </c>
    </row>
    <row r="112" spans="1:4" x14ac:dyDescent="0.25">
      <c r="A112">
        <v>111</v>
      </c>
      <c r="B112">
        <v>4.4982384214927817</v>
      </c>
      <c r="C112">
        <v>4.4945107035866663</v>
      </c>
      <c r="D112">
        <v>0.41377668757881825</v>
      </c>
    </row>
    <row r="113" spans="1:4" x14ac:dyDescent="0.25">
      <c r="A113">
        <v>112</v>
      </c>
      <c r="B113">
        <v>4.4989109519157262</v>
      </c>
      <c r="C113">
        <v>4.4945107035866663</v>
      </c>
      <c r="D113">
        <v>0.49282781285471344</v>
      </c>
    </row>
    <row r="114" spans="1:4" x14ac:dyDescent="0.25">
      <c r="A114">
        <v>113</v>
      </c>
      <c r="B114">
        <v>4.4995222756988875</v>
      </c>
      <c r="C114">
        <v>4.4945107035866663</v>
      </c>
      <c r="D114">
        <v>0.56630764868100147</v>
      </c>
    </row>
    <row r="115" spans="1:4" x14ac:dyDescent="0.25">
      <c r="A115">
        <v>114</v>
      </c>
      <c r="B115">
        <v>4.5000745033292473</v>
      </c>
      <c r="C115">
        <v>4.4945107035866663</v>
      </c>
      <c r="D115">
        <v>0.63427317065423772</v>
      </c>
    </row>
    <row r="116" spans="1:4" x14ac:dyDescent="0.25">
      <c r="A116">
        <v>115</v>
      </c>
      <c r="B116">
        <v>4.5005696648457825</v>
      </c>
      <c r="C116">
        <v>4.4945107035866663</v>
      </c>
      <c r="D116">
        <v>0.69678054479836327</v>
      </c>
    </row>
    <row r="117" spans="1:4" x14ac:dyDescent="0.25">
      <c r="A117">
        <v>116</v>
      </c>
      <c r="B117">
        <v>4.501009713396007</v>
      </c>
      <c r="C117">
        <v>4.4945107035866663</v>
      </c>
      <c r="D117">
        <v>0.75388513788352185</v>
      </c>
    </row>
    <row r="118" spans="1:4" x14ac:dyDescent="0.25">
      <c r="A118">
        <v>117</v>
      </c>
      <c r="B118">
        <v>4.5013965286106536</v>
      </c>
      <c r="C118">
        <v>4.4945107035866663</v>
      </c>
      <c r="D118">
        <v>0.80564152780652343</v>
      </c>
    </row>
    <row r="119" spans="1:4" x14ac:dyDescent="0.25">
      <c r="A119">
        <v>118</v>
      </c>
      <c r="B119">
        <v>4.5017319198053798</v>
      </c>
      <c r="C119">
        <v>4.4945107035866663</v>
      </c>
      <c r="D119">
        <v>0.8521035138081956</v>
      </c>
    </row>
    <row r="120" spans="1:4" x14ac:dyDescent="0.25">
      <c r="A120">
        <v>119</v>
      </c>
      <c r="B120">
        <v>4.5020176290254401</v>
      </c>
      <c r="C120">
        <v>4.4945107035866663</v>
      </c>
      <c r="D120">
        <v>0.89332412721408794</v>
      </c>
    </row>
    <row r="121" spans="1:4" x14ac:dyDescent="0.25">
      <c r="A121">
        <v>120</v>
      </c>
      <c r="B121">
        <v>4.502255333933074</v>
      </c>
      <c r="C121">
        <v>4.4945107035866663</v>
      </c>
      <c r="D121">
        <v>0.92935564156892525</v>
      </c>
    </row>
    <row r="122" spans="1:4" x14ac:dyDescent="0.25">
      <c r="A122">
        <v>121</v>
      </c>
      <c r="B122">
        <v>4.502446650565485</v>
      </c>
      <c r="C122">
        <v>4.4945107035866663</v>
      </c>
      <c r="D122">
        <v>0.9602495844370651</v>
      </c>
    </row>
    <row r="123" spans="1:4" x14ac:dyDescent="0.25">
      <c r="A123">
        <v>122</v>
      </c>
      <c r="B123">
        <v>4.5025931359344407</v>
      </c>
      <c r="C123">
        <v>4.4945107035866663</v>
      </c>
      <c r="D123">
        <v>0.98605674642847596</v>
      </c>
    </row>
    <row r="124" spans="1:4" x14ac:dyDescent="0.25">
      <c r="A124">
        <v>123</v>
      </c>
      <c r="B124">
        <v>4.5026962905280907</v>
      </c>
      <c r="C124">
        <v>4.4945107035866663</v>
      </c>
      <c r="D124">
        <v>1.0068271937952087</v>
      </c>
    </row>
    <row r="125" spans="1:4" x14ac:dyDescent="0.25">
      <c r="A125">
        <v>124</v>
      </c>
      <c r="B125">
        <v>4.5027575606628281</v>
      </c>
      <c r="C125">
        <v>4.4945107035866663</v>
      </c>
      <c r="D125">
        <v>1.0226102774440626</v>
      </c>
    </row>
    <row r="126" spans="1:4" x14ac:dyDescent="0.25">
      <c r="A126">
        <v>125</v>
      </c>
      <c r="B126">
        <v>4.5027783407506474</v>
      </c>
      <c r="C126">
        <v>4.4945107035866663</v>
      </c>
      <c r="D126">
        <v>1.0334546454976445</v>
      </c>
    </row>
    <row r="127" spans="1:4" x14ac:dyDescent="0.25">
      <c r="A127">
        <v>126</v>
      </c>
      <c r="B127">
        <v>4.5027599754340049</v>
      </c>
      <c r="C127">
        <v>4.4945107035866663</v>
      </c>
      <c r="D127">
        <v>1.0394082527646624</v>
      </c>
    </row>
    <row r="128" spans="1:4" x14ac:dyDescent="0.25">
      <c r="A128">
        <v>127</v>
      </c>
      <c r="B128">
        <v>4.5027037616260968</v>
      </c>
      <c r="C128">
        <v>4.4945107035866663</v>
      </c>
      <c r="D128">
        <v>1.0405183710076722</v>
      </c>
    </row>
    <row r="129" spans="1:4" x14ac:dyDescent="0.25">
      <c r="A129">
        <v>128</v>
      </c>
      <c r="B129">
        <v>4.5026109504737946</v>
      </c>
      <c r="C129">
        <v>4.4945107035866663</v>
      </c>
      <c r="D129">
        <v>1.0368316015524215</v>
      </c>
    </row>
    <row r="130" spans="1:4" x14ac:dyDescent="0.25">
      <c r="A130">
        <v>129</v>
      </c>
      <c r="B130">
        <v>4.5024827491976174</v>
      </c>
      <c r="C130">
        <v>4.4945107035866663</v>
      </c>
      <c r="D130">
        <v>1.0283938838126927</v>
      </c>
    </row>
    <row r="131" spans="1:4" x14ac:dyDescent="0.25">
      <c r="A131">
        <v>130</v>
      </c>
      <c r="B131">
        <v>4.5023203228673765</v>
      </c>
      <c r="C131">
        <v>4.4945107035866663</v>
      </c>
      <c r="D131">
        <v>1.015250506492329</v>
      </c>
    </row>
    <row r="132" spans="1:4" x14ac:dyDescent="0.25">
      <c r="A132">
        <v>131</v>
      </c>
      <c r="B132">
        <v>4.5021247960946233</v>
      </c>
      <c r="C132">
        <v>4.4945107035866663</v>
      </c>
      <c r="D132">
        <v>0.99744611854237775</v>
      </c>
    </row>
    <row r="133" spans="1:4" x14ac:dyDescent="0.25">
      <c r="A133">
        <v>132</v>
      </c>
      <c r="B133">
        <v>4.5018972546345886</v>
      </c>
      <c r="C133">
        <v>4.4945107035866663</v>
      </c>
      <c r="D133">
        <v>0.9750247383257431</v>
      </c>
    </row>
    <row r="134" spans="1:4" x14ac:dyDescent="0.25">
      <c r="A134">
        <v>133</v>
      </c>
      <c r="B134">
        <v>4.5016387469304302</v>
      </c>
      <c r="C134">
        <v>4.4945107035866663</v>
      </c>
      <c r="D134">
        <v>0.9480297647206033</v>
      </c>
    </row>
    <row r="135" spans="1:4" x14ac:dyDescent="0.25">
      <c r="A135">
        <v>134</v>
      </c>
      <c r="B135">
        <v>4.5013502855768808</v>
      </c>
      <c r="C135">
        <v>4.4945107035866663</v>
      </c>
      <c r="D135">
        <v>0.91650398668874367</v>
      </c>
    </row>
    <row r="136" spans="1:4" x14ac:dyDescent="0.25">
      <c r="A136">
        <v>135</v>
      </c>
      <c r="B136">
        <v>4.5010328487242699</v>
      </c>
      <c r="C136">
        <v>4.4945107035866663</v>
      </c>
      <c r="D136">
        <v>0.88048959357649004</v>
      </c>
    </row>
    <row r="137" spans="1:4" x14ac:dyDescent="0.25">
      <c r="A137">
        <v>136</v>
      </c>
      <c r="B137">
        <v>4.5006873814122965</v>
      </c>
      <c r="C137">
        <v>4.4945107035866663</v>
      </c>
      <c r="D137">
        <v>0.84002818428571402</v>
      </c>
    </row>
    <row r="138" spans="1:4" x14ac:dyDescent="0.25">
      <c r="A138">
        <v>137</v>
      </c>
      <c r="B138">
        <v>4.5003147968569985</v>
      </c>
      <c r="C138">
        <v>4.4945107035866663</v>
      </c>
      <c r="D138">
        <v>0.79516077803552054</v>
      </c>
    </row>
    <row r="139" spans="1:4" x14ac:dyDescent="0.25">
      <c r="A139">
        <v>138</v>
      </c>
      <c r="B139">
        <v>4.4999159776677731</v>
      </c>
      <c r="C139">
        <v>4.4945107035866663</v>
      </c>
      <c r="D139">
        <v>0.74592782319273887</v>
      </c>
    </row>
    <row r="140" spans="1:4" x14ac:dyDescent="0.25">
      <c r="A140">
        <v>139</v>
      </c>
      <c r="B140">
        <v>4.4994917770148115</v>
      </c>
      <c r="C140">
        <v>4.4945107035866663</v>
      </c>
      <c r="D140">
        <v>0.69236920651218892</v>
      </c>
    </row>
    <row r="141" spans="1:4" x14ac:dyDescent="0.25">
      <c r="A141">
        <v>140</v>
      </c>
      <c r="B141">
        <v>4.4990430197523636</v>
      </c>
      <c r="C141">
        <v>4.4945107035866663</v>
      </c>
      <c r="D141">
        <v>0.63452426319763333</v>
      </c>
    </row>
    <row r="142" spans="1:4" x14ac:dyDescent="0.25">
      <c r="A142">
        <v>141</v>
      </c>
      <c r="B142">
        <v>4.4985705034845083</v>
      </c>
      <c r="C142">
        <v>4.4945107035866663</v>
      </c>
      <c r="D142">
        <v>0.57243178559572172</v>
      </c>
    </row>
    <row r="143" spans="1:4" x14ac:dyDescent="0.25">
      <c r="A143">
        <v>142</v>
      </c>
      <c r="B143">
        <v>4.4980749995880247</v>
      </c>
      <c r="C143">
        <v>4.4945107035866663</v>
      </c>
      <c r="D143">
        <v>0.50613003219289787</v>
      </c>
    </row>
    <row r="144" spans="1:4" x14ac:dyDescent="0.25">
      <c r="A144">
        <v>143</v>
      </c>
      <c r="B144">
        <v>4.4975572541940014</v>
      </c>
      <c r="C144">
        <v>4.4945107035866663</v>
      </c>
      <c r="D144">
        <v>0.43565673684892836</v>
      </c>
    </row>
    <row r="145" spans="1:4" x14ac:dyDescent="0.25">
      <c r="A145">
        <v>144</v>
      </c>
      <c r="B145">
        <v>4.4970179891238891</v>
      </c>
      <c r="C145">
        <v>4.4945107035866663</v>
      </c>
      <c r="D145">
        <v>0.36104911736008205</v>
      </c>
    </row>
    <row r="146" spans="1:4" x14ac:dyDescent="0.25">
      <c r="A146">
        <v>145</v>
      </c>
      <c r="B146">
        <v>4.4964579027904383</v>
      </c>
      <c r="C146">
        <v>4.4945107035866663</v>
      </c>
      <c r="D146">
        <v>0.28234388454694948</v>
      </c>
    </row>
    <row r="147" spans="1:4" x14ac:dyDescent="0.25">
      <c r="A147">
        <v>146</v>
      </c>
      <c r="B147">
        <v>4.4958776710473982</v>
      </c>
      <c r="C147">
        <v>4.4945107035866663</v>
      </c>
      <c r="D147">
        <v>0.1995772492668646</v>
      </c>
    </row>
    <row r="148" spans="1:4" x14ac:dyDescent="0.25">
      <c r="A148">
        <v>147</v>
      </c>
      <c r="B148">
        <v>4.4952779480264038</v>
      </c>
      <c r="C148">
        <v>4.4945107035866663</v>
      </c>
      <c r="D148">
        <v>0.11278493264141609</v>
      </c>
    </row>
    <row r="149" spans="1:4" x14ac:dyDescent="0.25">
      <c r="A149">
        <v>148</v>
      </c>
      <c r="B149">
        <v>4.4946593669232753</v>
      </c>
      <c r="C149">
        <v>4.4945107035866663</v>
      </c>
      <c r="D149">
        <v>2.2002173818133741E-2</v>
      </c>
    </row>
    <row r="150" spans="1:4" x14ac:dyDescent="0.25">
      <c r="A150">
        <v>149</v>
      </c>
      <c r="B150">
        <v>4.494022540745755</v>
      </c>
      <c r="C150">
        <v>4.4945107035866663</v>
      </c>
      <c r="D150">
        <v>-7.2736263295775316E-2</v>
      </c>
    </row>
    <row r="151" spans="1:4" x14ac:dyDescent="0.25">
      <c r="A151">
        <v>150</v>
      </c>
      <c r="B151">
        <v>4.4933680630475958</v>
      </c>
      <c r="C151">
        <v>4.4945107035866663</v>
      </c>
      <c r="D151">
        <v>-0.17139608086056413</v>
      </c>
    </row>
    <row r="152" spans="1:4" x14ac:dyDescent="0.25">
      <c r="A152">
        <v>151</v>
      </c>
      <c r="B152">
        <v>4.4926965086283825</v>
      </c>
      <c r="C152">
        <v>4.4945107035866663</v>
      </c>
      <c r="D152">
        <v>-0.27394343870084192</v>
      </c>
    </row>
    <row r="153" spans="1:4" x14ac:dyDescent="0.25">
      <c r="A153">
        <v>152</v>
      </c>
      <c r="B153">
        <v>4.4920084341916882</v>
      </c>
      <c r="C153">
        <v>4.4945107035866663</v>
      </c>
      <c r="D153">
        <v>-0.38034494803667229</v>
      </c>
    </row>
    <row r="154" spans="1:4" x14ac:dyDescent="0.25">
      <c r="A154">
        <v>153</v>
      </c>
      <c r="B154">
        <v>4.4913043789859799</v>
      </c>
      <c r="C154">
        <v>4.4945107035866663</v>
      </c>
      <c r="D154">
        <v>-0.49056766390501494</v>
      </c>
    </row>
    <row r="155" spans="1:4" x14ac:dyDescent="0.25">
      <c r="A155">
        <v>154</v>
      </c>
      <c r="B155">
        <v>4.4905848654295726</v>
      </c>
      <c r="C155">
        <v>4.4945107035866663</v>
      </c>
      <c r="D155">
        <v>-0.60457907619242768</v>
      </c>
    </row>
    <row r="156" spans="1:4" x14ac:dyDescent="0.25">
      <c r="A156">
        <v>155</v>
      </c>
      <c r="B156">
        <v>4.489850399689721</v>
      </c>
      <c r="C156">
        <v>4.4945107035866663</v>
      </c>
      <c r="D156">
        <v>-0.72234710402651725</v>
      </c>
    </row>
    <row r="157" spans="1:4" x14ac:dyDescent="0.25">
      <c r="A157">
        <v>156</v>
      </c>
      <c r="B157">
        <v>4.489101472256217</v>
      </c>
      <c r="C157">
        <v>4.4945107035866663</v>
      </c>
      <c r="D157">
        <v>-0.84384008755008111</v>
      </c>
    </row>
    <row r="158" spans="1:4" x14ac:dyDescent="0.25">
      <c r="A158">
        <v>157</v>
      </c>
      <c r="B158">
        <v>4.4883385584785032</v>
      </c>
      <c r="C158">
        <v>4.4945107035866663</v>
      </c>
      <c r="D158">
        <v>-0.96902678198160785</v>
      </c>
    </row>
    <row r="159" spans="1:4" x14ac:dyDescent="0.25">
      <c r="A159">
        <v>158</v>
      </c>
      <c r="B159">
        <v>4.4875621190992669</v>
      </c>
      <c r="C159">
        <v>4.4945107035866663</v>
      </c>
      <c r="D159">
        <v>-1.097876349009093</v>
      </c>
    </row>
    <row r="160" spans="1:4" x14ac:dyDescent="0.25">
      <c r="A160">
        <v>159</v>
      </c>
      <c r="B160">
        <v>4.4867726007408315</v>
      </c>
      <c r="C160">
        <v>4.4945107035866663</v>
      </c>
      <c r="D160">
        <v>-1.2303583524877268</v>
      </c>
    </row>
    <row r="161" spans="1:4" x14ac:dyDescent="0.25">
      <c r="A161">
        <v>160</v>
      </c>
      <c r="B161">
        <v>4.4859704364051982</v>
      </c>
      <c r="C161">
        <v>4.4945107035866663</v>
      </c>
      <c r="D161">
        <v>-1.3664427490348885</v>
      </c>
    </row>
    <row r="162" spans="1:4" x14ac:dyDescent="0.25">
      <c r="A162">
        <v>161</v>
      </c>
      <c r="B162">
        <v>4.4851560459282043</v>
      </c>
      <c r="C162">
        <v>4.4945107035866663</v>
      </c>
      <c r="D162">
        <v>-1.5060998830123813</v>
      </c>
    </row>
    <row r="163" spans="1:4" x14ac:dyDescent="0.25">
      <c r="A163">
        <v>162</v>
      </c>
      <c r="B163">
        <v>4.4843298364181932</v>
      </c>
      <c r="C163">
        <v>4.4945107035866663</v>
      </c>
      <c r="D163">
        <v>-1.6493004812926433</v>
      </c>
    </row>
    <row r="164" spans="1:4" x14ac:dyDescent="0.25">
      <c r="A164">
        <v>163</v>
      </c>
      <c r="B164">
        <v>4.4834922027051975</v>
      </c>
      <c r="C164">
        <v>4.4945107035866663</v>
      </c>
      <c r="D164">
        <v>-1.796015643679401</v>
      </c>
    </row>
    <row r="165" spans="1:4" x14ac:dyDescent="0.25">
      <c r="A165">
        <v>164</v>
      </c>
      <c r="B165">
        <v>4.4826435277302474</v>
      </c>
      <c r="C165">
        <v>4.4945107035866663</v>
      </c>
      <c r="D165">
        <v>-1.9462168404526885</v>
      </c>
    </row>
    <row r="166" spans="1:4" x14ac:dyDescent="0.25">
      <c r="A166">
        <v>165</v>
      </c>
      <c r="B166">
        <v>4.4820134144974597</v>
      </c>
      <c r="C166">
        <v>4.4945107035866663</v>
      </c>
      <c r="D166">
        <v>-2.0620526997190813</v>
      </c>
    </row>
    <row r="167" spans="1:4" x14ac:dyDescent="0.25">
      <c r="A167">
        <v>166</v>
      </c>
      <c r="B167">
        <v>4.4829636400093769</v>
      </c>
      <c r="C167">
        <v>4.4945107035866663</v>
      </c>
      <c r="D167">
        <v>-1.9168125538300416</v>
      </c>
    </row>
    <row r="168" spans="1:4" x14ac:dyDescent="0.25">
      <c r="A168">
        <v>167</v>
      </c>
      <c r="B168">
        <v>4.4838797954148601</v>
      </c>
      <c r="C168">
        <v>4.4945107035866663</v>
      </c>
      <c r="D168">
        <v>-1.7753616646916219</v>
      </c>
    </row>
    <row r="169" spans="1:4" x14ac:dyDescent="0.25">
      <c r="A169">
        <v>168</v>
      </c>
      <c r="B169">
        <v>4.4847626336359925</v>
      </c>
      <c r="C169">
        <v>4.4945107035866663</v>
      </c>
      <c r="D169">
        <v>-1.6376757517131963</v>
      </c>
    </row>
    <row r="170" spans="1:4" x14ac:dyDescent="0.25">
      <c r="A170">
        <v>169</v>
      </c>
      <c r="B170">
        <v>4.4856128886349493</v>
      </c>
      <c r="C170">
        <v>4.4945107035866663</v>
      </c>
      <c r="D170">
        <v>-1.5037307268401614</v>
      </c>
    </row>
    <row r="171" spans="1:4" x14ac:dyDescent="0.25">
      <c r="A171">
        <v>170</v>
      </c>
      <c r="B171">
        <v>4.4864312759787639</v>
      </c>
      <c r="C171">
        <v>4.4945107035866663</v>
      </c>
      <c r="D171">
        <v>-1.3735026933434025</v>
      </c>
    </row>
    <row r="172" spans="1:4" x14ac:dyDescent="0.25">
      <c r="A172">
        <v>171</v>
      </c>
      <c r="B172">
        <v>4.4872184933721462</v>
      </c>
      <c r="C172">
        <v>4.4945107035866663</v>
      </c>
      <c r="D172">
        <v>-1.2469679466829353</v>
      </c>
    </row>
    <row r="173" spans="1:4" x14ac:dyDescent="0.25">
      <c r="A173">
        <v>172</v>
      </c>
      <c r="B173">
        <v>4.4879752211899344</v>
      </c>
      <c r="C173">
        <v>4.4945107035866663</v>
      </c>
      <c r="D173">
        <v>-1.1241029722378784</v>
      </c>
    </row>
    <row r="174" spans="1:4" x14ac:dyDescent="0.25">
      <c r="A174">
        <v>173</v>
      </c>
      <c r="B174">
        <v>4.4887021229703725</v>
      </c>
      <c r="C174">
        <v>4.4945107035866663</v>
      </c>
      <c r="D174">
        <v>-1.004884446618818</v>
      </c>
    </row>
    <row r="175" spans="1:4" x14ac:dyDescent="0.25">
      <c r="A175">
        <v>174</v>
      </c>
      <c r="B175">
        <v>4.4893998459015796</v>
      </c>
      <c r="C175">
        <v>4.4945107035866663</v>
      </c>
      <c r="D175">
        <v>-0.88928923720508202</v>
      </c>
    </row>
    <row r="176" spans="1:4" x14ac:dyDescent="0.25">
      <c r="A176">
        <v>175</v>
      </c>
      <c r="B176">
        <v>4.4900690213042056</v>
      </c>
      <c r="C176">
        <v>4.4945107035866663</v>
      </c>
      <c r="D176">
        <v>-0.77729439943061696</v>
      </c>
    </row>
    <row r="177" spans="1:4" x14ac:dyDescent="0.25">
      <c r="A177">
        <v>176</v>
      </c>
      <c r="B177">
        <v>4.49071026507914</v>
      </c>
      <c r="C177">
        <v>4.4945107035866663</v>
      </c>
      <c r="D177">
        <v>-0.66887717732463159</v>
      </c>
    </row>
    <row r="178" spans="1:4" x14ac:dyDescent="0.25">
      <c r="A178">
        <v>177</v>
      </c>
      <c r="B178">
        <v>4.4913241781360611</v>
      </c>
      <c r="C178">
        <v>4.4945107035866663</v>
      </c>
      <c r="D178">
        <v>-0.5640150047571133</v>
      </c>
    </row>
    <row r="179" spans="1:4" x14ac:dyDescent="0.25">
      <c r="A179">
        <v>178</v>
      </c>
      <c r="B179">
        <v>4.4919113468384975</v>
      </c>
      <c r="C179">
        <v>4.4945107035866663</v>
      </c>
      <c r="D179">
        <v>-0.46268550117404672</v>
      </c>
    </row>
    <row r="180" spans="1:4" x14ac:dyDescent="0.25">
      <c r="A180">
        <v>179</v>
      </c>
      <c r="B180">
        <v>4.4924723434078695</v>
      </c>
      <c r="C180">
        <v>4.4945107035866663</v>
      </c>
      <c r="D180">
        <v>-0.36486647200462219</v>
      </c>
    </row>
    <row r="181" spans="1:4" x14ac:dyDescent="0.25">
      <c r="A181">
        <v>180</v>
      </c>
      <c r="B181">
        <v>4.4930077263138939</v>
      </c>
      <c r="C181">
        <v>4.4945107035866663</v>
      </c>
      <c r="D181">
        <v>-0.2705359090990278</v>
      </c>
    </row>
    <row r="182" spans="1:4" x14ac:dyDescent="0.25">
      <c r="A182">
        <v>181</v>
      </c>
      <c r="B182">
        <v>4.4935180406725799</v>
      </c>
      <c r="C182">
        <v>4.4945107035866663</v>
      </c>
      <c r="D182">
        <v>-0.17967198744963753</v>
      </c>
    </row>
    <row r="183" spans="1:4" x14ac:dyDescent="0.25">
      <c r="A183">
        <v>182</v>
      </c>
      <c r="B183">
        <v>4.4940038186040763</v>
      </c>
      <c r="C183">
        <v>4.4945107035866663</v>
      </c>
      <c r="D183">
        <v>-9.2253066831379016E-2</v>
      </c>
    </row>
    <row r="184" spans="1:4" x14ac:dyDescent="0.25">
      <c r="A184">
        <v>183</v>
      </c>
      <c r="B184">
        <v>4.4944655796089554</v>
      </c>
      <c r="C184">
        <v>4.4945107035866663</v>
      </c>
      <c r="D184">
        <v>-8.2576879210831677E-3</v>
      </c>
    </row>
    <row r="185" spans="1:4" x14ac:dyDescent="0.25">
      <c r="A185">
        <v>184</v>
      </c>
      <c r="B185">
        <v>4.4949038309038416</v>
      </c>
      <c r="C185">
        <v>4.4945107035866663</v>
      </c>
      <c r="D185">
        <v>7.2335426360261579E-2</v>
      </c>
    </row>
    <row r="186" spans="1:4" x14ac:dyDescent="0.25">
      <c r="A186">
        <v>185</v>
      </c>
      <c r="B186">
        <v>4.4953190677675758</v>
      </c>
      <c r="C186">
        <v>4.4945107035866663</v>
      </c>
      <c r="D186">
        <v>0.14954737346827063</v>
      </c>
    </row>
    <row r="187" spans="1:4" x14ac:dyDescent="0.25">
      <c r="A187">
        <v>186</v>
      </c>
      <c r="B187">
        <v>4.4957117738670034</v>
      </c>
      <c r="C187">
        <v>4.4945107035866663</v>
      </c>
      <c r="D187">
        <v>0.22339907214270305</v>
      </c>
    </row>
    <row r="188" spans="1:4" x14ac:dyDescent="0.25">
      <c r="A188">
        <v>187</v>
      </c>
      <c r="B188">
        <v>4.4960824215729955</v>
      </c>
      <c r="C188">
        <v>4.4945107035866663</v>
      </c>
      <c r="D188">
        <v>0.29391126344357321</v>
      </c>
    </row>
    <row r="189" spans="1:4" x14ac:dyDescent="0.25">
      <c r="A189">
        <v>188</v>
      </c>
      <c r="B189">
        <v>4.4964314722634375</v>
      </c>
      <c r="C189">
        <v>4.4945107035866663</v>
      </c>
      <c r="D189">
        <v>0.36110451123299825</v>
      </c>
    </row>
    <row r="190" spans="1:4" x14ac:dyDescent="0.25">
      <c r="A190">
        <v>189</v>
      </c>
      <c r="B190">
        <v>4.4967593766329648</v>
      </c>
      <c r="C190">
        <v>4.4945107035866663</v>
      </c>
      <c r="D190">
        <v>0.42499920575041639</v>
      </c>
    </row>
    <row r="191" spans="1:4" x14ac:dyDescent="0.25">
      <c r="A191">
        <v>190</v>
      </c>
      <c r="B191">
        <v>4.4970665749573913</v>
      </c>
      <c r="C191">
        <v>4.4945107035866663</v>
      </c>
      <c r="D191">
        <v>0.48561556043774878</v>
      </c>
    </row>
    <row r="192" spans="1:4" x14ac:dyDescent="0.25">
      <c r="A192">
        <v>191</v>
      </c>
      <c r="B192">
        <v>4.4973534974027771</v>
      </c>
      <c r="C192">
        <v>4.4945107035866663</v>
      </c>
      <c r="D192">
        <v>0.54297361887717344</v>
      </c>
    </row>
    <row r="193" spans="1:4" x14ac:dyDescent="0.25">
      <c r="A193">
        <v>192</v>
      </c>
      <c r="B193">
        <v>4.4976205642701359</v>
      </c>
      <c r="C193">
        <v>4.4945107035866663</v>
      </c>
      <c r="D193">
        <v>0.59709325122616974</v>
      </c>
    </row>
    <row r="194" spans="1:4" x14ac:dyDescent="0.25">
      <c r="A194">
        <v>193</v>
      </c>
      <c r="B194">
        <v>4.4978681862732737</v>
      </c>
      <c r="C194">
        <v>4.4945107035866663</v>
      </c>
      <c r="D194">
        <v>0.64799415851522912</v>
      </c>
    </row>
    <row r="195" spans="1:4" x14ac:dyDescent="0.25">
      <c r="A195">
        <v>194</v>
      </c>
      <c r="B195">
        <v>4.4980967647883174</v>
      </c>
      <c r="C195">
        <v>4.4945107035866663</v>
      </c>
      <c r="D195">
        <v>0.69569587312032688</v>
      </c>
    </row>
    <row r="196" spans="1:4" x14ac:dyDescent="0.25">
      <c r="A196">
        <v>195</v>
      </c>
      <c r="B196">
        <v>4.4983066920985975</v>
      </c>
      <c r="C196">
        <v>4.4945107035866663</v>
      </c>
      <c r="D196">
        <v>0.74021775982658244</v>
      </c>
    </row>
    <row r="197" spans="1:4" x14ac:dyDescent="0.25">
      <c r="A197">
        <v>196</v>
      </c>
      <c r="B197">
        <v>4.4984983516307206</v>
      </c>
      <c r="C197">
        <v>4.4945107035866663</v>
      </c>
      <c r="D197">
        <v>0.78157901663465879</v>
      </c>
    </row>
    <row r="198" spans="1:4" x14ac:dyDescent="0.25">
      <c r="A198">
        <v>197</v>
      </c>
      <c r="B198">
        <v>4.498672118189134</v>
      </c>
      <c r="C198">
        <v>4.4945107035866663</v>
      </c>
      <c r="D198">
        <v>0.81979867668615114</v>
      </c>
    </row>
    <row r="199" spans="1:4" x14ac:dyDescent="0.25">
      <c r="A199">
        <v>198</v>
      </c>
      <c r="B199">
        <v>4.4988283581881685</v>
      </c>
      <c r="C199">
        <v>4.4945107035866663</v>
      </c>
      <c r="D199">
        <v>0.85489561109744372</v>
      </c>
    </row>
    <row r="200" spans="1:4" x14ac:dyDescent="0.25">
      <c r="A200">
        <v>199</v>
      </c>
      <c r="B200">
        <v>4.4989674298582587</v>
      </c>
      <c r="C200">
        <v>4.4945107035866663</v>
      </c>
      <c r="D200">
        <v>0.886888528046895</v>
      </c>
    </row>
    <row r="201" spans="1:4" x14ac:dyDescent="0.25">
      <c r="A201">
        <v>200</v>
      </c>
      <c r="B201">
        <v>4.4990896834610599</v>
      </c>
      <c r="C201">
        <v>4.4945107035866663</v>
      </c>
      <c r="D201">
        <v>0.91579597487871922</v>
      </c>
    </row>
    <row r="202" spans="1:4" x14ac:dyDescent="0.25">
      <c r="A202">
        <v>201</v>
      </c>
      <c r="B202">
        <v>4.4991954614982763</v>
      </c>
      <c r="C202">
        <v>4.4945107035866663</v>
      </c>
      <c r="D202">
        <v>0.94163634023361986</v>
      </c>
    </row>
    <row r="203" spans="1:4" x14ac:dyDescent="0.25">
      <c r="A203">
        <v>202</v>
      </c>
      <c r="B203">
        <v>4.4992850989008328</v>
      </c>
      <c r="C203">
        <v>4.4945107035866663</v>
      </c>
      <c r="D203">
        <v>0.96442785346164683</v>
      </c>
    </row>
    <row r="204" spans="1:4" x14ac:dyDescent="0.25">
      <c r="A204">
        <v>203</v>
      </c>
      <c r="B204">
        <v>4.499358923240008</v>
      </c>
      <c r="C204">
        <v>4.4945107035866663</v>
      </c>
      <c r="D204">
        <v>0.98418858962836531</v>
      </c>
    </row>
    <row r="205" spans="1:4" x14ac:dyDescent="0.25">
      <c r="A205">
        <v>204</v>
      </c>
      <c r="B205">
        <v>4.4994172548988915</v>
      </c>
      <c r="C205">
        <v>4.4945107035866663</v>
      </c>
      <c r="D205">
        <v>1.0009364676939576</v>
      </c>
    </row>
    <row r="206" spans="1:4" x14ac:dyDescent="0.25">
      <c r="A206">
        <v>205</v>
      </c>
      <c r="B206">
        <v>4.4994604072574553</v>
      </c>
      <c r="C206">
        <v>4.4945107035866663</v>
      </c>
      <c r="D206">
        <v>1.0146892525117579</v>
      </c>
    </row>
    <row r="207" spans="1:4" x14ac:dyDescent="0.25">
      <c r="A207">
        <v>206</v>
      </c>
      <c r="B207">
        <v>4.4994886868685411</v>
      </c>
      <c r="C207">
        <v>4.4945107035866663</v>
      </c>
      <c r="D207">
        <v>1.025464556066213</v>
      </c>
    </row>
    <row r="208" spans="1:4" x14ac:dyDescent="0.25">
      <c r="A208">
        <v>207</v>
      </c>
      <c r="B208">
        <v>4.4995023936416372</v>
      </c>
      <c r="C208">
        <v>4.4945107035866663</v>
      </c>
      <c r="D208">
        <v>1.0332798413789783</v>
      </c>
    </row>
    <row r="209" spans="1:4" x14ac:dyDescent="0.25">
      <c r="A209">
        <v>208</v>
      </c>
      <c r="B209">
        <v>4.499501820990929</v>
      </c>
      <c r="C209">
        <v>4.4945107035866663</v>
      </c>
      <c r="D209">
        <v>1.0381524200866465</v>
      </c>
    </row>
    <row r="210" spans="1:4" x14ac:dyDescent="0.25">
      <c r="A210">
        <v>209</v>
      </c>
      <c r="B210">
        <v>4.4994872560019461</v>
      </c>
      <c r="C210">
        <v>4.4945107035866663</v>
      </c>
      <c r="D210">
        <v>1.0400994547934852</v>
      </c>
    </row>
    <row r="211" spans="1:4" x14ac:dyDescent="0.25">
      <c r="A211">
        <v>210</v>
      </c>
      <c r="B211">
        <v>4.4994589796097131</v>
      </c>
      <c r="C211">
        <v>4.4945107035866663</v>
      </c>
      <c r="D211">
        <v>1.0391379648398313</v>
      </c>
    </row>
    <row r="212" spans="1:4" x14ac:dyDescent="0.25">
      <c r="A212">
        <v>211</v>
      </c>
      <c r="B212">
        <v>4.4994172667151453</v>
      </c>
      <c r="C212">
        <v>4.4945107035866663</v>
      </c>
      <c r="D212">
        <v>1.0352848201090765</v>
      </c>
    </row>
    <row r="213" spans="1:4" x14ac:dyDescent="0.25">
      <c r="A213">
        <v>212</v>
      </c>
      <c r="B213">
        <v>4.4993623863659904</v>
      </c>
      <c r="C213">
        <v>4.4945107035866663</v>
      </c>
      <c r="D213">
        <v>1.0285567492167154</v>
      </c>
    </row>
    <row r="214" spans="1:4" x14ac:dyDescent="0.25">
      <c r="A214">
        <v>213</v>
      </c>
      <c r="B214">
        <v>4.4992946018812399</v>
      </c>
      <c r="C214">
        <v>4.4945107035866663</v>
      </c>
      <c r="D214">
        <v>1.018970336744176</v>
      </c>
    </row>
    <row r="215" spans="1:4" x14ac:dyDescent="0.25">
      <c r="A215">
        <v>214</v>
      </c>
      <c r="B215">
        <v>4.4992141709960967</v>
      </c>
      <c r="C215">
        <v>4.4945107035866663</v>
      </c>
      <c r="D215">
        <v>1.0065420256181046</v>
      </c>
    </row>
    <row r="216" spans="1:4" x14ac:dyDescent="0.25">
      <c r="A216">
        <v>215</v>
      </c>
      <c r="B216">
        <v>4.4991213460029185</v>
      </c>
      <c r="C216">
        <v>4.4945107035866663</v>
      </c>
      <c r="D216">
        <v>0.99128811949422246</v>
      </c>
    </row>
    <row r="217" spans="1:4" x14ac:dyDescent="0.25">
      <c r="A217">
        <v>216</v>
      </c>
      <c r="B217">
        <v>4.4990163738738218</v>
      </c>
      <c r="C217">
        <v>4.4945107035866663</v>
      </c>
      <c r="D217">
        <v>0.97322478202559637</v>
      </c>
    </row>
    <row r="218" spans="1:4" x14ac:dyDescent="0.25">
      <c r="A218">
        <v>217</v>
      </c>
      <c r="B218">
        <v>4.4988994964065201</v>
      </c>
      <c r="C218">
        <v>4.4945107035866663</v>
      </c>
      <c r="D218">
        <v>0.95236804190828028</v>
      </c>
    </row>
    <row r="219" spans="1:4" x14ac:dyDescent="0.25">
      <c r="A219">
        <v>218</v>
      </c>
      <c r="B219">
        <v>4.498770950324543</v>
      </c>
      <c r="C219">
        <v>4.4945107035866663</v>
      </c>
      <c r="D219">
        <v>0.92873378885712654</v>
      </c>
    </row>
    <row r="220" spans="1:4" x14ac:dyDescent="0.25">
      <c r="A220">
        <v>219</v>
      </c>
      <c r="B220">
        <v>4.4986309674276246</v>
      </c>
      <c r="C220">
        <v>4.4945107035866663</v>
      </c>
      <c r="D220">
        <v>0.90233778116987118</v>
      </c>
    </row>
    <row r="221" spans="1:4" x14ac:dyDescent="0.25">
      <c r="A221">
        <v>220</v>
      </c>
      <c r="B221">
        <v>4.4984797746756069</v>
      </c>
      <c r="C221">
        <v>4.4945107035866663</v>
      </c>
      <c r="D221">
        <v>0.87319563956693713</v>
      </c>
    </row>
    <row r="222" spans="1:4" x14ac:dyDescent="0.25">
      <c r="A222">
        <v>221</v>
      </c>
      <c r="B222">
        <v>4.4983175943375739</v>
      </c>
      <c r="C222">
        <v>4.4945107035866663</v>
      </c>
      <c r="D222">
        <v>0.84132285595059653</v>
      </c>
    </row>
    <row r="223" spans="1:4" x14ac:dyDescent="0.25">
      <c r="A223">
        <v>222</v>
      </c>
      <c r="B223">
        <v>4.4981446440862536</v>
      </c>
      <c r="C223">
        <v>4.4945107035866663</v>
      </c>
      <c r="D223">
        <v>0.80673479090838462</v>
      </c>
    </row>
    <row r="224" spans="1:4" x14ac:dyDescent="0.25">
      <c r="A224">
        <v>223</v>
      </c>
      <c r="B224">
        <v>4.4979611371016421</v>
      </c>
      <c r="C224">
        <v>4.4945107035866663</v>
      </c>
      <c r="D224">
        <v>0.76944667383961907</v>
      </c>
    </row>
    <row r="225" spans="1:4" x14ac:dyDescent="0.25">
      <c r="A225">
        <v>224</v>
      </c>
      <c r="B225">
        <v>4.4977672821936441</v>
      </c>
      <c r="C225">
        <v>4.4945107035866663</v>
      </c>
      <c r="D225">
        <v>0.72947360796302974</v>
      </c>
    </row>
    <row r="226" spans="1:4" x14ac:dyDescent="0.25">
      <c r="A226">
        <v>225</v>
      </c>
      <c r="B226">
        <v>4.4975632838860289</v>
      </c>
      <c r="C226">
        <v>4.4945107035866663</v>
      </c>
      <c r="D226">
        <v>0.68683056735658887</v>
      </c>
    </row>
    <row r="227" spans="1:4" x14ac:dyDescent="0.25">
      <c r="A227">
        <v>226</v>
      </c>
      <c r="B227">
        <v>4.4973493425329147</v>
      </c>
      <c r="C227">
        <v>4.4945107035866663</v>
      </c>
      <c r="D227">
        <v>0.64153240185215488</v>
      </c>
    </row>
    <row r="228" spans="1:4" x14ac:dyDescent="0.25">
      <c r="A228">
        <v>227</v>
      </c>
      <c r="B228">
        <v>4.4971256544025708</v>
      </c>
      <c r="C228">
        <v>4.4945107035866663</v>
      </c>
      <c r="D228">
        <v>0.59359383521033759</v>
      </c>
    </row>
    <row r="229" spans="1:4" x14ac:dyDescent="0.25">
      <c r="A229">
        <v>228</v>
      </c>
      <c r="B229">
        <v>4.4968924117944411</v>
      </c>
      <c r="C229">
        <v>4.4945107035866663</v>
      </c>
      <c r="D229">
        <v>0.54302947137266244</v>
      </c>
    </row>
    <row r="230" spans="1:4" x14ac:dyDescent="0.25">
      <c r="A230">
        <v>229</v>
      </c>
      <c r="B230">
        <v>4.4966498030963242</v>
      </c>
      <c r="C230">
        <v>4.4945107035866663</v>
      </c>
      <c r="D230">
        <v>0.48985378771167287</v>
      </c>
    </row>
    <row r="231" spans="1:4" x14ac:dyDescent="0.25">
      <c r="A231">
        <v>230</v>
      </c>
      <c r="B231">
        <v>4.4963980129088092</v>
      </c>
      <c r="C231">
        <v>4.4945107035866663</v>
      </c>
      <c r="D231">
        <v>0.43408114409288601</v>
      </c>
    </row>
    <row r="232" spans="1:4" x14ac:dyDescent="0.25">
      <c r="A232">
        <v>231</v>
      </c>
      <c r="B232">
        <v>4.4961372221088185</v>
      </c>
      <c r="C232">
        <v>4.4945107035866663</v>
      </c>
      <c r="D232">
        <v>0.3757257786171655</v>
      </c>
    </row>
    <row r="233" spans="1:4" x14ac:dyDescent="0.25">
      <c r="A233">
        <v>232</v>
      </c>
      <c r="B233">
        <v>4.4958676079507303</v>
      </c>
      <c r="C233">
        <v>4.4945107035866663</v>
      </c>
      <c r="D233">
        <v>0.31480181246284644</v>
      </c>
    </row>
    <row r="234" spans="1:4" x14ac:dyDescent="0.25">
      <c r="A234">
        <v>233</v>
      </c>
      <c r="B234">
        <v>4.4955893441389723</v>
      </c>
      <c r="C234">
        <v>4.4945107035866663</v>
      </c>
      <c r="D234">
        <v>0.25132324868729761</v>
      </c>
    </row>
    <row r="235" spans="1:4" x14ac:dyDescent="0.25">
      <c r="A235">
        <v>234</v>
      </c>
      <c r="B235">
        <v>4.4953026009110655</v>
      </c>
      <c r="C235">
        <v>4.4945107035866663</v>
      </c>
      <c r="D235">
        <v>0.18530397390941644</v>
      </c>
    </row>
    <row r="236" spans="1:4" x14ac:dyDescent="0.25">
      <c r="A236">
        <v>235</v>
      </c>
      <c r="B236">
        <v>4.4950075451288818</v>
      </c>
      <c r="C236">
        <v>4.4945107035866663</v>
      </c>
      <c r="D236">
        <v>0.11675776242064728</v>
      </c>
    </row>
    <row r="237" spans="1:4" x14ac:dyDescent="0.25">
      <c r="A237">
        <v>236</v>
      </c>
      <c r="B237">
        <v>4.4947043403245281</v>
      </c>
      <c r="C237">
        <v>4.4945107035866663</v>
      </c>
      <c r="D237">
        <v>4.5698270135403618E-2</v>
      </c>
    </row>
    <row r="238" spans="1:4" x14ac:dyDescent="0.25">
      <c r="A238">
        <v>237</v>
      </c>
      <c r="B238">
        <v>4.4943931468133513</v>
      </c>
      <c r="C238">
        <v>4.4945107035866663</v>
      </c>
      <c r="D238">
        <v>-2.7860955275638588E-2</v>
      </c>
    </row>
    <row r="239" spans="1:4" x14ac:dyDescent="0.25">
      <c r="A239">
        <v>238</v>
      </c>
      <c r="B239">
        <v>4.4940741217390325</v>
      </c>
      <c r="C239">
        <v>4.4945107035866663</v>
      </c>
      <c r="D239">
        <v>-0.10390647973682832</v>
      </c>
    </row>
    <row r="240" spans="1:4" x14ac:dyDescent="0.25">
      <c r="A240">
        <v>239</v>
      </c>
      <c r="B240">
        <v>4.4937474191510027</v>
      </c>
      <c r="C240">
        <v>4.4945107035866663</v>
      </c>
      <c r="D240">
        <v>-0.1824249801235851</v>
      </c>
    </row>
    <row r="241" spans="1:4" x14ac:dyDescent="0.25">
      <c r="A241">
        <v>240</v>
      </c>
      <c r="B241">
        <v>4.4934131900829977</v>
      </c>
      <c r="C241">
        <v>4.4945107035866663</v>
      </c>
      <c r="D241">
        <v>-0.2634032408804643</v>
      </c>
    </row>
    <row r="242" spans="1:4" x14ac:dyDescent="0.25">
      <c r="A242">
        <v>241</v>
      </c>
      <c r="B242">
        <v>4.4930715826105718</v>
      </c>
      <c r="C242">
        <v>4.4945107035866663</v>
      </c>
      <c r="D242">
        <v>-0.34682815523876087</v>
      </c>
    </row>
    <row r="243" spans="1:4" x14ac:dyDescent="0.25">
      <c r="A243">
        <v>242</v>
      </c>
      <c r="B243">
        <v>4.4927227419165376</v>
      </c>
      <c r="C243">
        <v>4.4945107035866663</v>
      </c>
      <c r="D243">
        <v>-0.43268672417112697</v>
      </c>
    </row>
    <row r="244" spans="1:4" x14ac:dyDescent="0.25">
      <c r="A244">
        <v>243</v>
      </c>
      <c r="B244">
        <v>4.4923668103559198</v>
      </c>
      <c r="C244">
        <v>4.4945107035866663</v>
      </c>
      <c r="D244">
        <v>-0.52096605507139593</v>
      </c>
    </row>
    <row r="245" spans="1:4" x14ac:dyDescent="0.25">
      <c r="A245">
        <v>244</v>
      </c>
      <c r="B245">
        <v>4.4920039275373105</v>
      </c>
      <c r="C245">
        <v>4.4945107035866663</v>
      </c>
      <c r="D245">
        <v>-0.61165335604281168</v>
      </c>
    </row>
    <row r="246" spans="1:4" x14ac:dyDescent="0.25">
      <c r="A246">
        <v>245</v>
      </c>
      <c r="B246">
        <v>4.4916342303325223</v>
      </c>
      <c r="C246">
        <v>4.4945107035866663</v>
      </c>
      <c r="D246">
        <v>-0.70473594726527367</v>
      </c>
    </row>
    <row r="247" spans="1:4" x14ac:dyDescent="0.25">
      <c r="A247">
        <v>246</v>
      </c>
      <c r="B247">
        <v>4.4912578530087828</v>
      </c>
      <c r="C247">
        <v>4.4945107035866663</v>
      </c>
      <c r="D247">
        <v>-0.80020124215933919</v>
      </c>
    </row>
    <row r="248" spans="1:4" x14ac:dyDescent="0.25">
      <c r="A248">
        <v>247</v>
      </c>
      <c r="B248">
        <v>4.4908749272125039</v>
      </c>
      <c r="C248">
        <v>4.4945107035866663</v>
      </c>
      <c r="D248">
        <v>-0.89803676441809976</v>
      </c>
    </row>
    <row r="249" spans="1:4" x14ac:dyDescent="0.25">
      <c r="A249">
        <v>248</v>
      </c>
      <c r="B249">
        <v>4.4904855820861576</v>
      </c>
      <c r="C249">
        <v>4.4945107035866663</v>
      </c>
      <c r="D249">
        <v>-0.99823013212616019</v>
      </c>
    </row>
    <row r="250" spans="1:4" x14ac:dyDescent="0.25">
      <c r="A250">
        <v>249</v>
      </c>
      <c r="B250">
        <v>4.4900899442846098</v>
      </c>
      <c r="C250">
        <v>4.4945107035866663</v>
      </c>
      <c r="D250">
        <v>-1.1007690662120515</v>
      </c>
    </row>
    <row r="251" spans="1:4" x14ac:dyDescent="0.25">
      <c r="A251">
        <v>250</v>
      </c>
      <c r="B251">
        <v>4.489688138039198</v>
      </c>
      <c r="C251">
        <v>4.4945107035866663</v>
      </c>
      <c r="D251">
        <v>-1.2056413868670735</v>
      </c>
    </row>
    <row r="252" spans="1:4" x14ac:dyDescent="0.25">
      <c r="A252">
        <v>251</v>
      </c>
      <c r="B252">
        <v>4.4892802852183777</v>
      </c>
      <c r="C252">
        <v>4.4945107035866663</v>
      </c>
      <c r="D252">
        <v>-1.3128350104404198</v>
      </c>
    </row>
    <row r="253" spans="1:4" x14ac:dyDescent="0.25">
      <c r="A253">
        <v>252</v>
      </c>
      <c r="B253">
        <v>4.4888665053687564</v>
      </c>
      <c r="C253">
        <v>4.4945107035866663</v>
      </c>
      <c r="D253">
        <v>-1.4223379509132812</v>
      </c>
    </row>
    <row r="254" spans="1:4" x14ac:dyDescent="0.25">
      <c r="A254">
        <v>253</v>
      </c>
      <c r="B254">
        <v>4.4884469157721787</v>
      </c>
      <c r="C254">
        <v>4.4945107035866663</v>
      </c>
      <c r="D254">
        <v>-1.5341383170653566</v>
      </c>
    </row>
    <row r="255" spans="1:4" x14ac:dyDescent="0.25">
      <c r="A255">
        <v>254</v>
      </c>
      <c r="B255">
        <v>4.4880216314867596</v>
      </c>
      <c r="C255">
        <v>4.4945107035866663</v>
      </c>
      <c r="D255">
        <v>-1.6482243133762964</v>
      </c>
    </row>
    <row r="256" spans="1:4" x14ac:dyDescent="0.25">
      <c r="A256">
        <v>255</v>
      </c>
      <c r="B256">
        <v>4.4875907653927172</v>
      </c>
      <c r="C256">
        <v>4.4945107035866663</v>
      </c>
      <c r="D256">
        <v>-1.7645842394570188</v>
      </c>
    </row>
    <row r="257" spans="1:4" x14ac:dyDescent="0.25">
      <c r="A257">
        <v>256</v>
      </c>
      <c r="B257">
        <v>4.4871544282563294</v>
      </c>
      <c r="C257">
        <v>4.4945107035866663</v>
      </c>
      <c r="D257">
        <v>-1.8832064845662444</v>
      </c>
    </row>
    <row r="258" spans="1:4" x14ac:dyDescent="0.25">
      <c r="A258">
        <v>257</v>
      </c>
      <c r="B258">
        <v>4.4867127287528019</v>
      </c>
      <c r="C258">
        <v>4.4945107035866663</v>
      </c>
      <c r="D258">
        <v>-2.0040795323031384</v>
      </c>
    </row>
    <row r="259" spans="1:4" x14ac:dyDescent="0.25">
      <c r="A259">
        <v>258</v>
      </c>
      <c r="B259">
        <v>4.4866248965436952</v>
      </c>
      <c r="C259">
        <v>4.4945107035866663</v>
      </c>
      <c r="D259">
        <v>-2.0345382170865278</v>
      </c>
    </row>
    <row r="260" spans="1:4" x14ac:dyDescent="0.25">
      <c r="A260">
        <v>259</v>
      </c>
      <c r="B260">
        <v>4.4871053102759602</v>
      </c>
      <c r="C260">
        <v>4.4945107035866663</v>
      </c>
      <c r="D260">
        <v>-1.9179968674728824</v>
      </c>
    </row>
    <row r="261" spans="1:4" x14ac:dyDescent="0.25">
      <c r="A261">
        <v>260</v>
      </c>
      <c r="B261">
        <v>4.4875727423180827</v>
      </c>
      <c r="C261">
        <v>4.4945107035866663</v>
      </c>
      <c r="D261">
        <v>-1.803869929831734</v>
      </c>
    </row>
    <row r="262" spans="1:4" x14ac:dyDescent="0.25">
      <c r="A262">
        <v>261</v>
      </c>
      <c r="B262">
        <v>4.4880273810070346</v>
      </c>
      <c r="C262">
        <v>4.4945107035866663</v>
      </c>
      <c r="D262">
        <v>-1.692147193283871</v>
      </c>
    </row>
    <row r="263" spans="1:4" x14ac:dyDescent="0.25">
      <c r="A263">
        <v>262</v>
      </c>
      <c r="B263">
        <v>4.488469411569552</v>
      </c>
      <c r="C263">
        <v>4.4945107035866663</v>
      </c>
      <c r="D263">
        <v>-1.5828185084839284</v>
      </c>
    </row>
    <row r="264" spans="1:4" x14ac:dyDescent="0.25">
      <c r="A264">
        <v>263</v>
      </c>
      <c r="B264">
        <v>4.4888990162267115</v>
      </c>
      <c r="C264">
        <v>4.4945107035866663</v>
      </c>
      <c r="D264">
        <v>-1.4758737756681031</v>
      </c>
    </row>
    <row r="265" spans="1:4" x14ac:dyDescent="0.25">
      <c r="A265">
        <v>264</v>
      </c>
      <c r="B265">
        <v>4.4893163742084932</v>
      </c>
      <c r="C265">
        <v>4.4945107035866663</v>
      </c>
      <c r="D265">
        <v>-1.3713029558376988</v>
      </c>
    </row>
    <row r="266" spans="1:4" x14ac:dyDescent="0.25">
      <c r="A266">
        <v>265</v>
      </c>
      <c r="B266">
        <v>4.4897216618413252</v>
      </c>
      <c r="C266">
        <v>4.4945107035866663</v>
      </c>
      <c r="D266">
        <v>-1.2690960625153958</v>
      </c>
    </row>
    <row r="267" spans="1:4" x14ac:dyDescent="0.25">
      <c r="A267">
        <v>266</v>
      </c>
      <c r="B267">
        <v>4.4901150525901778</v>
      </c>
      <c r="C267">
        <v>4.4945107035866663</v>
      </c>
      <c r="D267">
        <v>-1.1692431650659199</v>
      </c>
    </row>
    <row r="268" spans="1:4" x14ac:dyDescent="0.25">
      <c r="A268">
        <v>267</v>
      </c>
      <c r="B268">
        <v>4.4904967171145707</v>
      </c>
      <c r="C268">
        <v>4.4945107035866663</v>
      </c>
      <c r="D268">
        <v>-1.0717343880495278</v>
      </c>
    </row>
    <row r="269" spans="1:4" x14ac:dyDescent="0.25">
      <c r="A269">
        <v>268</v>
      </c>
      <c r="B269">
        <v>4.4908668233271456</v>
      </c>
      <c r="C269">
        <v>4.4945107035866663</v>
      </c>
      <c r="D269">
        <v>-0.97655990955153982</v>
      </c>
    </row>
    <row r="270" spans="1:4" x14ac:dyDescent="0.25">
      <c r="A270">
        <v>269</v>
      </c>
      <c r="B270">
        <v>4.4912255364264873</v>
      </c>
      <c r="C270">
        <v>4.4945107035866663</v>
      </c>
      <c r="D270">
        <v>-0.88370996608815489</v>
      </c>
    </row>
    <row r="271" spans="1:4" x14ac:dyDescent="0.25">
      <c r="A271">
        <v>270</v>
      </c>
      <c r="B271">
        <v>4.4915730189763394</v>
      </c>
      <c r="C271">
        <v>4.4945107035866663</v>
      </c>
      <c r="D271">
        <v>-0.79317484478824696</v>
      </c>
    </row>
    <row r="272" spans="1:4" x14ac:dyDescent="0.25">
      <c r="A272">
        <v>271</v>
      </c>
      <c r="B272">
        <v>4.491909430937052</v>
      </c>
      <c r="C272">
        <v>4.4945107035866663</v>
      </c>
      <c r="D272">
        <v>-0.70494488804547384</v>
      </c>
    </row>
    <row r="273" spans="1:4" x14ac:dyDescent="0.25">
      <c r="A273">
        <v>272</v>
      </c>
      <c r="B273">
        <v>4.4922349297084594</v>
      </c>
      <c r="C273">
        <v>4.4945107035866663</v>
      </c>
      <c r="D273">
        <v>-0.61901049487227056</v>
      </c>
    </row>
    <row r="274" spans="1:4" x14ac:dyDescent="0.25">
      <c r="A274">
        <v>273</v>
      </c>
      <c r="B274">
        <v>4.4925496701971124</v>
      </c>
      <c r="C274">
        <v>4.4945107035866663</v>
      </c>
      <c r="D274">
        <v>-0.53536211534821199</v>
      </c>
    </row>
    <row r="275" spans="1:4" x14ac:dyDescent="0.25">
      <c r="A275">
        <v>274</v>
      </c>
      <c r="B275">
        <v>4.492853804851566</v>
      </c>
      <c r="C275">
        <v>4.4945107035866663</v>
      </c>
      <c r="D275">
        <v>-0.45399025341746047</v>
      </c>
    </row>
    <row r="276" spans="1:4" x14ac:dyDescent="0.25">
      <c r="A276">
        <v>275</v>
      </c>
      <c r="B276">
        <v>4.4931474837040852</v>
      </c>
      <c r="C276">
        <v>4.4945107035866663</v>
      </c>
      <c r="D276">
        <v>-0.37488546770978459</v>
      </c>
    </row>
    <row r="277" spans="1:4" x14ac:dyDescent="0.25">
      <c r="A277">
        <v>276</v>
      </c>
      <c r="B277">
        <v>4.4934308544150872</v>
      </c>
      <c r="C277">
        <v>4.4945107035866663</v>
      </c>
      <c r="D277">
        <v>-0.29803837135583322</v>
      </c>
    </row>
    <row r="278" spans="1:4" x14ac:dyDescent="0.25">
      <c r="A278">
        <v>277</v>
      </c>
      <c r="B278">
        <v>4.4937040623358238</v>
      </c>
      <c r="C278">
        <v>4.4945107035866663</v>
      </c>
      <c r="D278">
        <v>-0.22343962648337534</v>
      </c>
    </row>
    <row r="279" spans="1:4" x14ac:dyDescent="0.25">
      <c r="A279">
        <v>278</v>
      </c>
      <c r="B279">
        <v>4.4939672505227453</v>
      </c>
      <c r="C279">
        <v>4.4945107035866663</v>
      </c>
      <c r="D279">
        <v>-0.15107995177003986</v>
      </c>
    </row>
    <row r="280" spans="1:4" x14ac:dyDescent="0.25">
      <c r="A280">
        <v>279</v>
      </c>
      <c r="B280">
        <v>4.4942205597937956</v>
      </c>
      <c r="C280">
        <v>4.4945107035866663</v>
      </c>
      <c r="D280">
        <v>-8.095011821090381E-2</v>
      </c>
    </row>
    <row r="281" spans="1:4" x14ac:dyDescent="0.25">
      <c r="A281">
        <v>280</v>
      </c>
      <c r="B281">
        <v>4.494464128781626</v>
      </c>
      <c r="C281">
        <v>4.4945107035866663</v>
      </c>
      <c r="D281">
        <v>-1.3040945411262328E-2</v>
      </c>
    </row>
    <row r="282" spans="1:4" x14ac:dyDescent="0.25">
      <c r="A282">
        <v>281</v>
      </c>
      <c r="B282">
        <v>4.4946980939386663</v>
      </c>
      <c r="C282">
        <v>4.4945107035866663</v>
      </c>
      <c r="D282">
        <v>5.2656688911998373E-2</v>
      </c>
    </row>
    <row r="283" spans="1:4" x14ac:dyDescent="0.25">
      <c r="A283">
        <v>282</v>
      </c>
      <c r="B283">
        <v>4.4949225896218508</v>
      </c>
      <c r="C283">
        <v>4.4945107035866663</v>
      </c>
      <c r="D283">
        <v>0.11615186192202742</v>
      </c>
    </row>
    <row r="284" spans="1:4" x14ac:dyDescent="0.25">
      <c r="A284">
        <v>283</v>
      </c>
      <c r="B284">
        <v>4.4951377480840931</v>
      </c>
      <c r="C284">
        <v>4.4945107035866663</v>
      </c>
      <c r="D284">
        <v>0.17745359277178085</v>
      </c>
    </row>
    <row r="285" spans="1:4" x14ac:dyDescent="0.25">
      <c r="A285">
        <v>284</v>
      </c>
      <c r="B285">
        <v>4.4953436995433425</v>
      </c>
      <c r="C285">
        <v>4.4945107035866663</v>
      </c>
      <c r="D285">
        <v>0.23657085169603675</v>
      </c>
    </row>
    <row r="286" spans="1:4" x14ac:dyDescent="0.25">
      <c r="A286">
        <v>285</v>
      </c>
      <c r="B286">
        <v>4.4955405722263109</v>
      </c>
      <c r="C286">
        <v>4.4945107035866663</v>
      </c>
      <c r="D286">
        <v>0.29351256229871225</v>
      </c>
    </row>
    <row r="287" spans="1:4" x14ac:dyDescent="0.25">
      <c r="A287">
        <v>286</v>
      </c>
      <c r="B287">
        <v>4.4957284923638543</v>
      </c>
      <c r="C287">
        <v>4.4945107035866663</v>
      </c>
      <c r="D287">
        <v>0.3482875902757776</v>
      </c>
    </row>
    <row r="288" spans="1:4" x14ac:dyDescent="0.25">
      <c r="A288">
        <v>287</v>
      </c>
      <c r="B288">
        <v>4.4959075842617056</v>
      </c>
      <c r="C288">
        <v>4.4945107035866663</v>
      </c>
      <c r="D288">
        <v>0.40090475373627665</v>
      </c>
    </row>
    <row r="289" spans="1:4" x14ac:dyDescent="0.25">
      <c r="A289">
        <v>288</v>
      </c>
      <c r="B289">
        <v>4.4960779703258593</v>
      </c>
      <c r="C289">
        <v>4.4945107035866663</v>
      </c>
      <c r="D289">
        <v>0.45137282088759889</v>
      </c>
    </row>
    <row r="290" spans="1:4" x14ac:dyDescent="0.25">
      <c r="A290">
        <v>289</v>
      </c>
      <c r="B290">
        <v>4.4962397710865316</v>
      </c>
      <c r="C290">
        <v>4.4945107035866663</v>
      </c>
      <c r="D290">
        <v>0.49970050746108452</v>
      </c>
    </row>
    <row r="291" spans="1:4" x14ac:dyDescent="0.25">
      <c r="A291">
        <v>290</v>
      </c>
      <c r="B291">
        <v>4.4963931052598189</v>
      </c>
      <c r="C291">
        <v>4.4945107035866663</v>
      </c>
      <c r="D291">
        <v>0.54589648521427669</v>
      </c>
    </row>
    <row r="292" spans="1:4" x14ac:dyDescent="0.25">
      <c r="A292">
        <v>291</v>
      </c>
      <c r="B292">
        <v>4.4965380897326668</v>
      </c>
      <c r="C292">
        <v>4.4945107035866663</v>
      </c>
      <c r="D292">
        <v>0.58996936848614823</v>
      </c>
    </row>
    <row r="293" spans="1:4" x14ac:dyDescent="0.25">
      <c r="A293">
        <v>292</v>
      </c>
      <c r="B293">
        <v>4.4966748396415772</v>
      </c>
      <c r="C293">
        <v>4.4945107035866663</v>
      </c>
      <c r="D293">
        <v>0.63192772803399677</v>
      </c>
    </row>
    <row r="294" spans="1:4" x14ac:dyDescent="0.25">
      <c r="A294">
        <v>293</v>
      </c>
      <c r="B294">
        <v>4.4968034683775082</v>
      </c>
      <c r="C294">
        <v>4.4945107035866663</v>
      </c>
      <c r="D294">
        <v>0.6717800837166914</v>
      </c>
    </row>
    <row r="295" spans="1:4" x14ac:dyDescent="0.25">
      <c r="A295">
        <v>294</v>
      </c>
      <c r="B295">
        <v>4.4969240876143139</v>
      </c>
      <c r="C295">
        <v>4.4945107035866663</v>
      </c>
      <c r="D295">
        <v>0.70953490412841802</v>
      </c>
    </row>
    <row r="296" spans="1:4" x14ac:dyDescent="0.25">
      <c r="A296">
        <v>295</v>
      </c>
      <c r="B296">
        <v>4.4970368073724298</v>
      </c>
      <c r="C296">
        <v>4.4945107035866663</v>
      </c>
      <c r="D296">
        <v>0.74520061680025229</v>
      </c>
    </row>
    <row r="297" spans="1:4" x14ac:dyDescent="0.25">
      <c r="A297">
        <v>296</v>
      </c>
      <c r="B297">
        <v>4.4971417359864176</v>
      </c>
      <c r="C297">
        <v>4.4945107035866663</v>
      </c>
      <c r="D297">
        <v>0.77878559032640737</v>
      </c>
    </row>
    <row r="298" spans="1:4" x14ac:dyDescent="0.25">
      <c r="A298">
        <v>297</v>
      </c>
      <c r="B298">
        <v>4.4972389802025505</v>
      </c>
      <c r="C298">
        <v>4.4945107035866663</v>
      </c>
      <c r="D298">
        <v>0.8102981549176258</v>
      </c>
    </row>
    <row r="299" spans="1:4" x14ac:dyDescent="0.25">
      <c r="A299">
        <v>298</v>
      </c>
      <c r="B299">
        <v>4.4973286451558359</v>
      </c>
      <c r="C299">
        <v>4.4945107035866663</v>
      </c>
      <c r="D299">
        <v>0.83974658761253806</v>
      </c>
    </row>
    <row r="300" spans="1:4" x14ac:dyDescent="0.25">
      <c r="A300">
        <v>299</v>
      </c>
      <c r="B300">
        <v>4.4974108344177326</v>
      </c>
      <c r="C300">
        <v>4.4945107035866663</v>
      </c>
      <c r="D300">
        <v>0.86713911848883196</v>
      </c>
    </row>
    <row r="301" spans="1:4" x14ac:dyDescent="0.25">
      <c r="A301">
        <v>300</v>
      </c>
      <c r="B301">
        <v>4.4974856500329157</v>
      </c>
      <c r="C301">
        <v>4.4945107035866663</v>
      </c>
      <c r="D301">
        <v>0.89248393387482139</v>
      </c>
    </row>
    <row r="302" spans="1:4" x14ac:dyDescent="0.25">
      <c r="A302">
        <v>301</v>
      </c>
      <c r="B302">
        <v>4.4975531925190682</v>
      </c>
      <c r="C302">
        <v>4.4945107035866663</v>
      </c>
      <c r="D302">
        <v>0.91578916865296822</v>
      </c>
    </row>
    <row r="303" spans="1:4" x14ac:dyDescent="0.25">
      <c r="A303">
        <v>302</v>
      </c>
      <c r="B303">
        <v>4.4976135609203496</v>
      </c>
      <c r="C303">
        <v>4.4945107035866663</v>
      </c>
      <c r="D303">
        <v>0.93706291477236192</v>
      </c>
    </row>
    <row r="304" spans="1:4" x14ac:dyDescent="0.25">
      <c r="A304">
        <v>303</v>
      </c>
      <c r="B304">
        <v>4.4976668528152617</v>
      </c>
      <c r="C304">
        <v>4.4945107035866663</v>
      </c>
      <c r="D304">
        <v>0.95631321626441146</v>
      </c>
    </row>
    <row r="305" spans="1:4" x14ac:dyDescent="0.25">
      <c r="A305">
        <v>304</v>
      </c>
      <c r="B305">
        <v>4.4977131643419623</v>
      </c>
      <c r="C305">
        <v>4.4945107035866663</v>
      </c>
      <c r="D305">
        <v>0.97354806961000406</v>
      </c>
    </row>
    <row r="306" spans="1:4" x14ac:dyDescent="0.25">
      <c r="A306">
        <v>305</v>
      </c>
      <c r="B306">
        <v>4.4977525902403226</v>
      </c>
      <c r="C306">
        <v>4.4945107035866663</v>
      </c>
      <c r="D306">
        <v>0.98877542936517848</v>
      </c>
    </row>
    <row r="307" spans="1:4" x14ac:dyDescent="0.25">
      <c r="A307">
        <v>306</v>
      </c>
      <c r="B307">
        <v>4.4977852238450637</v>
      </c>
      <c r="C307">
        <v>4.4945107035866663</v>
      </c>
      <c r="D307">
        <v>1.0020031990696268</v>
      </c>
    </row>
    <row r="308" spans="1:4" x14ac:dyDescent="0.25">
      <c r="A308">
        <v>307</v>
      </c>
      <c r="B308">
        <v>4.4978111571492461</v>
      </c>
      <c r="C308">
        <v>4.4945107035866663</v>
      </c>
      <c r="D308">
        <v>1.0132392437119977</v>
      </c>
    </row>
    <row r="309" spans="1:4" x14ac:dyDescent="0.25">
      <c r="A309">
        <v>308</v>
      </c>
      <c r="B309">
        <v>4.4978304807804346</v>
      </c>
      <c r="C309">
        <v>4.4945107035866663</v>
      </c>
      <c r="D309">
        <v>1.0224913756806373</v>
      </c>
    </row>
    <row r="310" spans="1:4" x14ac:dyDescent="0.25">
      <c r="A310">
        <v>309</v>
      </c>
      <c r="B310">
        <v>4.497843284074297</v>
      </c>
      <c r="C310">
        <v>4.4945107035866663</v>
      </c>
      <c r="D310">
        <v>1.0297673706778996</v>
      </c>
    </row>
    <row r="311" spans="1:4" x14ac:dyDescent="0.25">
      <c r="A311">
        <v>310</v>
      </c>
      <c r="B311">
        <v>4.4978496550552087</v>
      </c>
      <c r="C311">
        <v>4.4945107035866663</v>
      </c>
      <c r="D311">
        <v>1.0350749552481631</v>
      </c>
    </row>
    <row r="312" spans="1:4" x14ac:dyDescent="0.25">
      <c r="A312">
        <v>311</v>
      </c>
      <c r="B312">
        <v>4.4978496804646406</v>
      </c>
      <c r="C312">
        <v>4.4945107035866663</v>
      </c>
      <c r="D312">
        <v>1.0384218090500239</v>
      </c>
    </row>
    <row r="313" spans="1:4" x14ac:dyDescent="0.25">
      <c r="A313">
        <v>312</v>
      </c>
      <c r="B313">
        <v>4.4978434458089787</v>
      </c>
      <c r="C313">
        <v>4.4945107035866663</v>
      </c>
      <c r="D313">
        <v>1.0398155733614658</v>
      </c>
    </row>
    <row r="314" spans="1:4" x14ac:dyDescent="0.25">
      <c r="A314">
        <v>313</v>
      </c>
      <c r="B314">
        <v>4.4978310353614877</v>
      </c>
      <c r="C314">
        <v>4.4945107035866663</v>
      </c>
      <c r="D314">
        <v>1.039263845519093</v>
      </c>
    </row>
    <row r="315" spans="1:4" x14ac:dyDescent="0.25">
      <c r="A315">
        <v>314</v>
      </c>
      <c r="B315">
        <v>4.4978125321681324</v>
      </c>
      <c r="C315">
        <v>4.4945107035866663</v>
      </c>
      <c r="D315">
        <v>1.0367741745803567</v>
      </c>
    </row>
    <row r="316" spans="1:4" x14ac:dyDescent="0.25">
      <c r="A316">
        <v>315</v>
      </c>
      <c r="B316">
        <v>4.4977880181064194</v>
      </c>
      <c r="C316">
        <v>4.4945107035866663</v>
      </c>
      <c r="D316">
        <v>1.0323540737222281</v>
      </c>
    </row>
    <row r="317" spans="1:4" x14ac:dyDescent="0.25">
      <c r="A317">
        <v>316</v>
      </c>
      <c r="B317">
        <v>4.4977575738528248</v>
      </c>
      <c r="C317">
        <v>4.4945107035866663</v>
      </c>
      <c r="D317">
        <v>1.0260110041061026</v>
      </c>
    </row>
    <row r="318" spans="1:4" x14ac:dyDescent="0.25">
      <c r="A318">
        <v>317</v>
      </c>
      <c r="B318">
        <v>4.4977212789592009</v>
      </c>
      <c r="C318">
        <v>4.4945107035866663</v>
      </c>
      <c r="D318">
        <v>1.0177523930934882</v>
      </c>
    </row>
    <row r="319" spans="1:4" x14ac:dyDescent="0.25">
      <c r="A319">
        <v>318</v>
      </c>
      <c r="B319">
        <v>4.4976792118263251</v>
      </c>
      <c r="C319">
        <v>4.4945107035866663</v>
      </c>
      <c r="D319">
        <v>1.0075856202115183</v>
      </c>
    </row>
    <row r="320" spans="1:4" x14ac:dyDescent="0.25">
      <c r="A320">
        <v>319</v>
      </c>
      <c r="B320">
        <v>4.4976314497494281</v>
      </c>
      <c r="C320">
        <v>4.4945107035866663</v>
      </c>
      <c r="D320">
        <v>0.9955180259210179</v>
      </c>
    </row>
    <row r="321" spans="1:4" x14ac:dyDescent="0.25">
      <c r="A321">
        <v>320</v>
      </c>
      <c r="B321">
        <v>4.4975780689230698</v>
      </c>
      <c r="C321">
        <v>4.4945107035866663</v>
      </c>
      <c r="D321">
        <v>0.98155690764912151</v>
      </c>
    </row>
    <row r="322" spans="1:4" x14ac:dyDescent="0.25">
      <c r="A322">
        <v>321</v>
      </c>
      <c r="B322">
        <v>4.4975191444615188</v>
      </c>
      <c r="C322">
        <v>4.4945107035866663</v>
      </c>
      <c r="D322">
        <v>0.96570952082766048</v>
      </c>
    </row>
    <row r="323" spans="1:4" x14ac:dyDescent="0.25">
      <c r="A323">
        <v>322</v>
      </c>
      <c r="B323">
        <v>4.4974547504189273</v>
      </c>
      <c r="C323">
        <v>4.4945107035866663</v>
      </c>
      <c r="D323">
        <v>0.94798307998804709</v>
      </c>
    </row>
    <row r="324" spans="1:4" x14ac:dyDescent="0.25">
      <c r="A324">
        <v>323</v>
      </c>
      <c r="B324">
        <v>4.4973849598120674</v>
      </c>
      <c r="C324">
        <v>4.4945107035866663</v>
      </c>
      <c r="D324">
        <v>0.92838476080457522</v>
      </c>
    </row>
    <row r="325" spans="1:4" x14ac:dyDescent="0.25">
      <c r="A325">
        <v>324</v>
      </c>
      <c r="B325">
        <v>4.4973098446273871</v>
      </c>
      <c r="C325">
        <v>4.4945107035866663</v>
      </c>
      <c r="D325">
        <v>0.90692169719356386</v>
      </c>
    </row>
    <row r="326" spans="1:4" x14ac:dyDescent="0.25">
      <c r="A326">
        <v>325</v>
      </c>
      <c r="B326">
        <v>4.4972294758276927</v>
      </c>
      <c r="C326">
        <v>4.4945107035866663</v>
      </c>
      <c r="D326">
        <v>0.88360097833359852</v>
      </c>
    </row>
    <row r="327" spans="1:4" x14ac:dyDescent="0.25">
      <c r="A327">
        <v>326</v>
      </c>
      <c r="B327">
        <v>4.4971439234041464</v>
      </c>
      <c r="C327">
        <v>4.4945107035866663</v>
      </c>
      <c r="D327">
        <v>0.85842966049851377</v>
      </c>
    </row>
    <row r="328" spans="1:4" x14ac:dyDescent="0.25">
      <c r="A328">
        <v>327</v>
      </c>
      <c r="B328">
        <v>4.4970532563451266</v>
      </c>
      <c r="C328">
        <v>4.4945107035866663</v>
      </c>
      <c r="D328">
        <v>0.83141475201654469</v>
      </c>
    </row>
    <row r="329" spans="1:4" x14ac:dyDescent="0.25">
      <c r="A329">
        <v>328</v>
      </c>
      <c r="B329">
        <v>4.4969575427062276</v>
      </c>
      <c r="C329">
        <v>4.4945107035866663</v>
      </c>
      <c r="D329">
        <v>0.80256323121611928</v>
      </c>
    </row>
    <row r="330" spans="1:4" x14ac:dyDescent="0.25">
      <c r="A330">
        <v>329</v>
      </c>
      <c r="B330">
        <v>4.4968568495651917</v>
      </c>
      <c r="C330">
        <v>4.4945107035866663</v>
      </c>
      <c r="D330">
        <v>0.77188202693487273</v>
      </c>
    </row>
    <row r="331" spans="1:4" x14ac:dyDescent="0.25">
      <c r="A331">
        <v>330</v>
      </c>
      <c r="B331">
        <v>4.4967512430957353</v>
      </c>
      <c r="C331">
        <v>4.4945107035866663</v>
      </c>
      <c r="D331">
        <v>0.73937803799276836</v>
      </c>
    </row>
    <row r="332" spans="1:4" x14ac:dyDescent="0.25">
      <c r="A332">
        <v>331</v>
      </c>
      <c r="B332">
        <v>4.4966407885309483</v>
      </c>
      <c r="C332">
        <v>4.4945107035866663</v>
      </c>
      <c r="D332">
        <v>0.70505811655734796</v>
      </c>
    </row>
    <row r="333" spans="1:4" x14ac:dyDescent="0.25">
      <c r="A333">
        <v>332</v>
      </c>
      <c r="B333">
        <v>4.4965255502170622</v>
      </c>
      <c r="C333">
        <v>4.4945107035866663</v>
      </c>
      <c r="D333">
        <v>0.66892908129146278</v>
      </c>
    </row>
    <row r="334" spans="1:4" x14ac:dyDescent="0.25">
      <c r="A334">
        <v>333</v>
      </c>
      <c r="B334">
        <v>4.4964055916067336</v>
      </c>
      <c r="C334">
        <v>4.4945107035866663</v>
      </c>
      <c r="D334">
        <v>0.63099771068241761</v>
      </c>
    </row>
    <row r="335" spans="1:4" x14ac:dyDescent="0.25">
      <c r="A335">
        <v>334</v>
      </c>
      <c r="B335">
        <v>4.4962809752754431</v>
      </c>
      <c r="C335">
        <v>4.4945107035866663</v>
      </c>
      <c r="D335">
        <v>0.59127074405147084</v>
      </c>
    </row>
    <row r="336" spans="1:4" x14ac:dyDescent="0.25">
      <c r="A336">
        <v>335</v>
      </c>
      <c r="B336">
        <v>4.496151762946254</v>
      </c>
      <c r="C336">
        <v>4.4945107035866663</v>
      </c>
      <c r="D336">
        <v>0.54975488546187723</v>
      </c>
    </row>
    <row r="337" spans="1:4" x14ac:dyDescent="0.25">
      <c r="A337">
        <v>336</v>
      </c>
      <c r="B337">
        <v>4.4960180154842799</v>
      </c>
      <c r="C337">
        <v>4.4945107035866663</v>
      </c>
      <c r="D337">
        <v>0.50645679759819018</v>
      </c>
    </row>
    <row r="338" spans="1:4" x14ac:dyDescent="0.25">
      <c r="A338">
        <v>337</v>
      </c>
      <c r="B338">
        <v>4.4958797929273144</v>
      </c>
      <c r="C338">
        <v>4.4945107035866663</v>
      </c>
      <c r="D338">
        <v>0.46138310779843206</v>
      </c>
    </row>
    <row r="339" spans="1:4" x14ac:dyDescent="0.25">
      <c r="A339">
        <v>338</v>
      </c>
      <c r="B339">
        <v>4.495737154506263</v>
      </c>
      <c r="C339">
        <v>4.4945107035866663</v>
      </c>
      <c r="D339">
        <v>0.41454041082369208</v>
      </c>
    </row>
    <row r="340" spans="1:4" x14ac:dyDescent="0.25">
      <c r="A340">
        <v>339</v>
      </c>
      <c r="B340">
        <v>4.4955901586236005</v>
      </c>
      <c r="C340">
        <v>4.4945107035866663</v>
      </c>
      <c r="D340">
        <v>0.36593525752068867</v>
      </c>
    </row>
    <row r="341" spans="1:4" x14ac:dyDescent="0.25">
      <c r="A341">
        <v>340</v>
      </c>
      <c r="B341">
        <v>4.4954388628864894</v>
      </c>
      <c r="C341">
        <v>4.4945107035866663</v>
      </c>
      <c r="D341">
        <v>0.31557416193987109</v>
      </c>
    </row>
    <row r="342" spans="1:4" x14ac:dyDescent="0.25">
      <c r="A342">
        <v>341</v>
      </c>
      <c r="B342">
        <v>4.4952833241374401</v>
      </c>
      <c r="C342">
        <v>4.4945107035866663</v>
      </c>
      <c r="D342">
        <v>0.26346360781389055</v>
      </c>
    </row>
    <row r="343" spans="1:4" x14ac:dyDescent="0.25">
      <c r="A343">
        <v>342</v>
      </c>
      <c r="B343">
        <v>4.4951235984396716</v>
      </c>
      <c r="C343">
        <v>4.4945107035866663</v>
      </c>
      <c r="D343">
        <v>0.20961003972781533</v>
      </c>
    </row>
    <row r="344" spans="1:4" x14ac:dyDescent="0.25">
      <c r="A344">
        <v>343</v>
      </c>
      <c r="B344">
        <v>4.4949597410862596</v>
      </c>
      <c r="C344">
        <v>4.4945107035866663</v>
      </c>
      <c r="D344">
        <v>0.15401986236051979</v>
      </c>
    </row>
    <row r="345" spans="1:4" x14ac:dyDescent="0.25">
      <c r="A345">
        <v>344</v>
      </c>
      <c r="B345">
        <v>4.4947918066438115</v>
      </c>
      <c r="C345">
        <v>4.4945107035866663</v>
      </c>
      <c r="D345">
        <v>9.6699451657961788E-2</v>
      </c>
    </row>
    <row r="346" spans="1:4" x14ac:dyDescent="0.25">
      <c r="A346">
        <v>345</v>
      </c>
      <c r="B346">
        <v>4.4946198489327864</v>
      </c>
      <c r="C346">
        <v>4.4945107035866663</v>
      </c>
      <c r="D346">
        <v>3.7655144411457009E-2</v>
      </c>
    </row>
    <row r="347" spans="1:4" x14ac:dyDescent="0.25">
      <c r="A347">
        <v>346</v>
      </c>
      <c r="B347">
        <v>4.49444392104754</v>
      </c>
      <c r="C347">
        <v>4.4945107035866663</v>
      </c>
      <c r="D347">
        <v>-2.3106758537695171E-2</v>
      </c>
    </row>
    <row r="348" spans="1:4" x14ac:dyDescent="0.25">
      <c r="A348">
        <v>347</v>
      </c>
      <c r="B348">
        <v>4.4942640753707597</v>
      </c>
      <c r="C348">
        <v>4.4945107035866663</v>
      </c>
      <c r="D348">
        <v>-8.5579990919589122E-2</v>
      </c>
    </row>
    <row r="349" spans="1:4" x14ac:dyDescent="0.25">
      <c r="A349">
        <v>348</v>
      </c>
      <c r="B349">
        <v>4.4940803635901307</v>
      </c>
      <c r="C349">
        <v>4.4945107035866663</v>
      </c>
      <c r="D349">
        <v>-0.14975831879436186</v>
      </c>
    </row>
    <row r="350" spans="1:4" x14ac:dyDescent="0.25">
      <c r="A350">
        <v>349</v>
      </c>
      <c r="B350">
        <v>4.4938928366930782</v>
      </c>
      <c r="C350">
        <v>4.4945107035866663</v>
      </c>
      <c r="D350">
        <v>-0.21563554586225209</v>
      </c>
    </row>
    <row r="351" spans="1:4" x14ac:dyDescent="0.25">
      <c r="A351">
        <v>350</v>
      </c>
      <c r="B351">
        <v>4.4937015449919526</v>
      </c>
      <c r="C351">
        <v>4.4945107035866663</v>
      </c>
      <c r="D351">
        <v>-0.2832055081497753</v>
      </c>
    </row>
    <row r="352" spans="1:4" x14ac:dyDescent="0.25">
      <c r="A352">
        <v>351</v>
      </c>
      <c r="B352">
        <v>4.4935065381356605</v>
      </c>
      <c r="C352">
        <v>4.4945107035866663</v>
      </c>
      <c r="D352">
        <v>-0.35246207330303214</v>
      </c>
    </row>
    <row r="353" spans="1:4" x14ac:dyDescent="0.25">
      <c r="A353">
        <v>352</v>
      </c>
      <c r="B353">
        <v>4.4933078650873135</v>
      </c>
      <c r="C353">
        <v>4.4945107035866663</v>
      </c>
      <c r="D353">
        <v>-0.42339915177217335</v>
      </c>
    </row>
    <row r="354" spans="1:4" x14ac:dyDescent="0.25">
      <c r="A354">
        <v>353</v>
      </c>
      <c r="B354">
        <v>4.4931055741877035</v>
      </c>
      <c r="C354">
        <v>4.4945107035866663</v>
      </c>
      <c r="D354">
        <v>-0.49601067783385311</v>
      </c>
    </row>
    <row r="355" spans="1:4" x14ac:dyDescent="0.25">
      <c r="A355">
        <v>354</v>
      </c>
      <c r="B355">
        <v>4.4928997131289821</v>
      </c>
      <c r="C355">
        <v>4.4945107035866663</v>
      </c>
      <c r="D355">
        <v>-0.57029062202020775</v>
      </c>
    </row>
    <row r="356" spans="1:4" x14ac:dyDescent="0.25">
      <c r="A356">
        <v>355</v>
      </c>
      <c r="B356">
        <v>4.4926903289599318</v>
      </c>
      <c r="C356">
        <v>4.4945107035866663</v>
      </c>
      <c r="D356">
        <v>-0.64623299249073174</v>
      </c>
    </row>
    <row r="357" spans="1:4" x14ac:dyDescent="0.25">
      <c r="A357">
        <v>356</v>
      </c>
      <c r="B357">
        <v>4.4924774681214501</v>
      </c>
      <c r="C357">
        <v>4.4945107035866663</v>
      </c>
      <c r="D357">
        <v>-0.72383182561695492</v>
      </c>
    </row>
    <row r="358" spans="1:4" x14ac:dyDescent="0.25">
      <c r="A358">
        <v>357</v>
      </c>
      <c r="B358">
        <v>4.4922611764465685</v>
      </c>
      <c r="C358">
        <v>4.4945107035866663</v>
      </c>
      <c r="D358">
        <v>-0.80308118901489323</v>
      </c>
    </row>
    <row r="359" spans="1:4" x14ac:dyDescent="0.25">
      <c r="A359">
        <v>358</v>
      </c>
      <c r="B359">
        <v>4.4920414991520508</v>
      </c>
      <c r="C359">
        <v>4.4945107035866663</v>
      </c>
      <c r="D359">
        <v>-0.88397518759235361</v>
      </c>
    </row>
    <row r="360" spans="1:4" x14ac:dyDescent="0.25">
      <c r="A360">
        <v>359</v>
      </c>
      <c r="B360">
        <v>4.4918184808596981</v>
      </c>
      <c r="C360">
        <v>4.4945107035866663</v>
      </c>
      <c r="D360">
        <v>-0.96650795898155462</v>
      </c>
    </row>
    <row r="361" spans="1:4" x14ac:dyDescent="0.25">
      <c r="A361">
        <v>360</v>
      </c>
      <c r="B361">
        <v>4.4915921656273259</v>
      </c>
      <c r="C361">
        <v>4.4945107035866663</v>
      </c>
      <c r="D361">
        <v>-1.0506736653625381</v>
      </c>
    </row>
    <row r="362" spans="1:4" x14ac:dyDescent="0.25">
      <c r="A362">
        <v>361</v>
      </c>
      <c r="B362">
        <v>4.4913625969169164</v>
      </c>
      <c r="C362">
        <v>4.4945107035866663</v>
      </c>
      <c r="D362">
        <v>-1.136466507779696</v>
      </c>
    </row>
    <row r="363" spans="1:4" x14ac:dyDescent="0.25">
      <c r="A363">
        <v>362</v>
      </c>
      <c r="B363">
        <v>4.4911298176326202</v>
      </c>
      <c r="C363">
        <v>4.4945107035866663</v>
      </c>
      <c r="D363">
        <v>-1.2238807153646754</v>
      </c>
    </row>
    <row r="364" spans="1:4" x14ac:dyDescent="0.25">
      <c r="A364">
        <v>363</v>
      </c>
      <c r="B364">
        <v>4.4908938701074241</v>
      </c>
      <c r="C364">
        <v>4.4945107035866663</v>
      </c>
      <c r="D364">
        <v>-1.3129105529648939</v>
      </c>
    </row>
    <row r="365" spans="1:4" x14ac:dyDescent="0.25">
      <c r="A365">
        <v>364</v>
      </c>
      <c r="B365">
        <v>4.4906547961346117</v>
      </c>
      <c r="C365">
        <v>4.4945107035866663</v>
      </c>
      <c r="D365">
        <v>-1.403550312547857</v>
      </c>
    </row>
    <row r="366" spans="1:4" x14ac:dyDescent="0.25">
      <c r="A366">
        <v>365</v>
      </c>
      <c r="B366">
        <v>4.4904126369606452</v>
      </c>
      <c r="C366">
        <v>4.4945107035866663</v>
      </c>
      <c r="D366">
        <v>-1.4957943184976941</v>
      </c>
    </row>
    <row r="367" spans="1:4" x14ac:dyDescent="0.25">
      <c r="A367">
        <v>366</v>
      </c>
      <c r="B367">
        <v>4.4901674332985069</v>
      </c>
      <c r="C367">
        <v>4.4945107035866663</v>
      </c>
      <c r="D367">
        <v>-1.5896369254663387</v>
      </c>
    </row>
    <row r="368" spans="1:4" x14ac:dyDescent="0.25">
      <c r="A368">
        <v>367</v>
      </c>
      <c r="B368">
        <v>4.4899192253353277</v>
      </c>
      <c r="C368">
        <v>4.4945107035866663</v>
      </c>
      <c r="D368">
        <v>-1.6850725182412454</v>
      </c>
    </row>
    <row r="369" spans="1:4" x14ac:dyDescent="0.25">
      <c r="A369">
        <v>368</v>
      </c>
      <c r="B369">
        <v>4.4896680527433741</v>
      </c>
      <c r="C369">
        <v>4.4945107035866663</v>
      </c>
      <c r="D369">
        <v>-1.7820955103315157</v>
      </c>
    </row>
    <row r="370" spans="1:4" x14ac:dyDescent="0.25">
      <c r="A370">
        <v>369</v>
      </c>
      <c r="B370">
        <v>4.4894139546618437</v>
      </c>
      <c r="C370">
        <v>4.4945107035866663</v>
      </c>
      <c r="D370">
        <v>-1.8807003532595363</v>
      </c>
    </row>
    <row r="371" spans="1:4" x14ac:dyDescent="0.25">
      <c r="A371">
        <v>370</v>
      </c>
      <c r="B371">
        <v>4.4891569697464657</v>
      </c>
      <c r="C371">
        <v>4.4945107035866663</v>
      </c>
      <c r="D371">
        <v>-1.9808815208742026</v>
      </c>
    </row>
    <row r="372" spans="1:4" x14ac:dyDescent="0.25">
      <c r="A372">
        <v>371</v>
      </c>
      <c r="B372">
        <v>4.4889141468786429</v>
      </c>
      <c r="C372">
        <v>4.4945107035866663</v>
      </c>
      <c r="D372">
        <v>-2.0763225386766786</v>
      </c>
    </row>
    <row r="373" spans="1:4" x14ac:dyDescent="0.25">
      <c r="A373">
        <v>372</v>
      </c>
      <c r="B373">
        <v>4.4891935330637001</v>
      </c>
      <c r="C373">
        <v>4.4945107035866663</v>
      </c>
      <c r="D373">
        <v>-1.9779874345434294</v>
      </c>
    </row>
    <row r="374" spans="1:4" x14ac:dyDescent="0.25">
      <c r="A374">
        <v>373</v>
      </c>
      <c r="B374">
        <v>4.4894669334954544</v>
      </c>
      <c r="C374">
        <v>4.4945107035866663</v>
      </c>
      <c r="D374">
        <v>-1.8813262440220084</v>
      </c>
    </row>
    <row r="375" spans="1:4" x14ac:dyDescent="0.25">
      <c r="A375">
        <v>374</v>
      </c>
      <c r="B375">
        <v>4.4897344095809988</v>
      </c>
      <c r="C375">
        <v>4.4945107035866663</v>
      </c>
      <c r="D375">
        <v>-1.7863339581196378</v>
      </c>
    </row>
    <row r="376" spans="1:4" x14ac:dyDescent="0.25">
      <c r="A376">
        <v>375</v>
      </c>
      <c r="B376">
        <v>4.4899960220470456</v>
      </c>
      <c r="C376">
        <v>4.4945107035866663</v>
      </c>
      <c r="D376">
        <v>-1.6930055773577424</v>
      </c>
    </row>
    <row r="377" spans="1:4" x14ac:dyDescent="0.25">
      <c r="A377">
        <v>376</v>
      </c>
      <c r="B377">
        <v>4.4902518308942678</v>
      </c>
      <c r="C377">
        <v>4.4945107035866663</v>
      </c>
      <c r="D377">
        <v>-1.6013361323418138</v>
      </c>
    </row>
    <row r="378" spans="1:4" x14ac:dyDescent="0.25">
      <c r="A378">
        <v>377</v>
      </c>
      <c r="B378">
        <v>4.4905018954531926</v>
      </c>
      <c r="C378">
        <v>4.4945107035866663</v>
      </c>
      <c r="D378">
        <v>-1.5113206663195875</v>
      </c>
    </row>
    <row r="379" spans="1:4" x14ac:dyDescent="0.25">
      <c r="A379">
        <v>378</v>
      </c>
      <c r="B379">
        <v>4.4907462743604789</v>
      </c>
      <c r="C379">
        <v>4.4945107035866663</v>
      </c>
      <c r="D379">
        <v>-1.4229542474988222</v>
      </c>
    </row>
    <row r="380" spans="1:4" x14ac:dyDescent="0.25">
      <c r="A380">
        <v>379</v>
      </c>
      <c r="B380">
        <v>4.4909850255988122</v>
      </c>
      <c r="C380">
        <v>4.4945107035866663</v>
      </c>
      <c r="D380">
        <v>-1.3362319573966968</v>
      </c>
    </row>
    <row r="381" spans="1:4" x14ac:dyDescent="0.25">
      <c r="A381">
        <v>380</v>
      </c>
      <c r="B381">
        <v>4.4912182064785817</v>
      </c>
      <c r="C381">
        <v>4.4945107035866663</v>
      </c>
      <c r="D381">
        <v>-1.2511489010721277</v>
      </c>
    </row>
    <row r="382" spans="1:4" x14ac:dyDescent="0.25">
      <c r="A382">
        <v>381</v>
      </c>
      <c r="B382">
        <v>4.4914458736488845</v>
      </c>
      <c r="C382">
        <v>4.4945107035866663</v>
      </c>
      <c r="D382">
        <v>-1.1677002062948612</v>
      </c>
    </row>
    <row r="383" spans="1:4" x14ac:dyDescent="0.25">
      <c r="A383">
        <v>382</v>
      </c>
      <c r="B383">
        <v>4.4916680831225442</v>
      </c>
      <c r="C383">
        <v>4.4945107035866663</v>
      </c>
      <c r="D383">
        <v>-1.0858810172946392</v>
      </c>
    </row>
    <row r="384" spans="1:4" x14ac:dyDescent="0.25">
      <c r="A384">
        <v>383</v>
      </c>
      <c r="B384">
        <v>4.4918848902860642</v>
      </c>
      <c r="C384">
        <v>4.4945107035866663</v>
      </c>
      <c r="D384">
        <v>-1.005686494130595</v>
      </c>
    </row>
    <row r="385" spans="1:4" x14ac:dyDescent="0.25">
      <c r="A385">
        <v>384</v>
      </c>
      <c r="B385">
        <v>4.4920963498737221</v>
      </c>
      <c r="C385">
        <v>4.4945107035866663</v>
      </c>
      <c r="D385">
        <v>-0.92711182577056661</v>
      </c>
    </row>
    <row r="386" spans="1:4" x14ac:dyDescent="0.25">
      <c r="A386">
        <v>385</v>
      </c>
      <c r="B386">
        <v>4.4923025160292855</v>
      </c>
      <c r="C386">
        <v>4.4945107035866663</v>
      </c>
      <c r="D386">
        <v>-0.85015220959157922</v>
      </c>
    </row>
    <row r="387" spans="1:4" x14ac:dyDescent="0.25">
      <c r="A387">
        <v>386</v>
      </c>
      <c r="B387">
        <v>4.4925034422721435</v>
      </c>
      <c r="C387">
        <v>4.4945107035866663</v>
      </c>
      <c r="D387">
        <v>-0.77480286740579274</v>
      </c>
    </row>
    <row r="388" spans="1:4" x14ac:dyDescent="0.25">
      <c r="A388">
        <v>387</v>
      </c>
      <c r="B388">
        <v>4.4926991815061346</v>
      </c>
      <c r="C388">
        <v>4.4945107035866663</v>
      </c>
      <c r="D388">
        <v>-0.70105904516576878</v>
      </c>
    </row>
    <row r="389" spans="1:4" x14ac:dyDescent="0.25">
      <c r="A389">
        <v>388</v>
      </c>
      <c r="B389">
        <v>4.4928897860655459</v>
      </c>
      <c r="C389">
        <v>4.4945107035866663</v>
      </c>
      <c r="D389">
        <v>-0.62891599819470301</v>
      </c>
    </row>
    <row r="390" spans="1:4" x14ac:dyDescent="0.25">
      <c r="A390">
        <v>389</v>
      </c>
      <c r="B390">
        <v>4.493075307670753</v>
      </c>
      <c r="C390">
        <v>4.4945107035866663</v>
      </c>
      <c r="D390">
        <v>-0.55836901129025041</v>
      </c>
    </row>
    <row r="391" spans="1:4" x14ac:dyDescent="0.25">
      <c r="A391">
        <v>390</v>
      </c>
      <c r="B391">
        <v>4.4932557974841689</v>
      </c>
      <c r="C391">
        <v>4.4945107035866663</v>
      </c>
      <c r="D391">
        <v>-0.48941337997396417</v>
      </c>
    </row>
    <row r="392" spans="1:4" x14ac:dyDescent="0.25">
      <c r="A392">
        <v>391</v>
      </c>
      <c r="B392">
        <v>4.493431306086527</v>
      </c>
      <c r="C392">
        <v>4.4945107035866663</v>
      </c>
      <c r="D392">
        <v>-0.42204442255446661</v>
      </c>
    </row>
    <row r="393" spans="1:4" x14ac:dyDescent="0.25">
      <c r="A393">
        <v>392</v>
      </c>
      <c r="B393">
        <v>4.4936018834963773</v>
      </c>
      <c r="C393">
        <v>4.4945107035866663</v>
      </c>
      <c r="D393">
        <v>-0.35625747539325658</v>
      </c>
    </row>
    <row r="394" spans="1:4" x14ac:dyDescent="0.25">
      <c r="A394">
        <v>393</v>
      </c>
      <c r="B394">
        <v>4.4937675791681029</v>
      </c>
      <c r="C394">
        <v>4.4945107035866663</v>
      </c>
      <c r="D394">
        <v>-0.2920478964954123</v>
      </c>
    </row>
    <row r="395" spans="1:4" x14ac:dyDescent="0.25">
      <c r="A395">
        <v>394</v>
      </c>
      <c r="B395">
        <v>4.4939284420146794</v>
      </c>
      <c r="C395">
        <v>4.4945107035866663</v>
      </c>
      <c r="D395">
        <v>-0.22941105936280692</v>
      </c>
    </row>
    <row r="396" spans="1:4" x14ac:dyDescent="0.25">
      <c r="A396">
        <v>395</v>
      </c>
      <c r="B396">
        <v>4.4940845204066289</v>
      </c>
      <c r="C396">
        <v>4.4945107035866663</v>
      </c>
      <c r="D396">
        <v>-0.16834235611477233</v>
      </c>
    </row>
    <row r="397" spans="1:4" x14ac:dyDescent="0.25">
      <c r="A397">
        <v>396</v>
      </c>
      <c r="B397">
        <v>4.4942358621733174</v>
      </c>
      <c r="C397">
        <v>4.4945107035866663</v>
      </c>
      <c r="D397">
        <v>-0.10883719968615679</v>
      </c>
    </row>
    <row r="398" spans="1:4" x14ac:dyDescent="0.25">
      <c r="A398">
        <v>397</v>
      </c>
      <c r="B398">
        <v>4.4943825146137382</v>
      </c>
      <c r="C398">
        <v>4.4945107035866663</v>
      </c>
      <c r="D398">
        <v>-5.0891022252455898E-2</v>
      </c>
    </row>
    <row r="399" spans="1:4" x14ac:dyDescent="0.25">
      <c r="A399">
        <v>398</v>
      </c>
      <c r="B399">
        <v>4.4945245245074563</v>
      </c>
      <c r="C399">
        <v>4.4945107035866663</v>
      </c>
      <c r="D399">
        <v>5.5007264744411088E-3</v>
      </c>
    </row>
    <row r="400" spans="1:4" x14ac:dyDescent="0.25">
      <c r="A400">
        <v>399</v>
      </c>
      <c r="B400">
        <v>4.4946619381279742</v>
      </c>
      <c r="C400">
        <v>4.4945107035866663</v>
      </c>
      <c r="D400">
        <v>6.0342581981869259E-2</v>
      </c>
    </row>
    <row r="401" spans="1:4" x14ac:dyDescent="0.25">
      <c r="A401">
        <v>400</v>
      </c>
      <c r="B401">
        <v>4.4947948012271111</v>
      </c>
      <c r="C401">
        <v>4.4945107035866663</v>
      </c>
      <c r="D401">
        <v>0.11363905617791659</v>
      </c>
    </row>
    <row r="402" spans="1:4" x14ac:dyDescent="0.25">
      <c r="A402">
        <v>401</v>
      </c>
      <c r="B402">
        <v>4.4949231590526288</v>
      </c>
      <c r="C402">
        <v>4.4945107035866663</v>
      </c>
      <c r="D402">
        <v>0.16539464185099462</v>
      </c>
    </row>
    <row r="403" spans="1:4" x14ac:dyDescent="0.25">
      <c r="A403">
        <v>402</v>
      </c>
      <c r="B403">
        <v>4.4950470563610878</v>
      </c>
      <c r="C403">
        <v>4.4945107035866663</v>
      </c>
      <c r="D403">
        <v>0.21561381531746093</v>
      </c>
    </row>
    <row r="404" spans="1:4" x14ac:dyDescent="0.25">
      <c r="A404">
        <v>403</v>
      </c>
      <c r="B404">
        <v>4.4951665374349519</v>
      </c>
      <c r="C404">
        <v>4.4945107035866663</v>
      </c>
      <c r="D404">
        <v>0.264301040859098</v>
      </c>
    </row>
    <row r="405" spans="1:4" x14ac:dyDescent="0.25">
      <c r="A405">
        <v>404</v>
      </c>
      <c r="B405">
        <v>4.4952816460445568</v>
      </c>
      <c r="C405">
        <v>4.4945107035866663</v>
      </c>
      <c r="D405">
        <v>0.31146075298778442</v>
      </c>
    </row>
    <row r="406" spans="1:4" x14ac:dyDescent="0.25">
      <c r="A406">
        <v>405</v>
      </c>
      <c r="B406">
        <v>4.4953924255063971</v>
      </c>
      <c r="C406">
        <v>4.4945107035866663</v>
      </c>
      <c r="D406">
        <v>0.35709737749097137</v>
      </c>
    </row>
    <row r="407" spans="1:4" x14ac:dyDescent="0.25">
      <c r="A407">
        <v>406</v>
      </c>
      <c r="B407">
        <v>4.4954989186468195</v>
      </c>
      <c r="C407">
        <v>4.4945107035866663</v>
      </c>
      <c r="D407">
        <v>0.40121531442221148</v>
      </c>
    </row>
    <row r="408" spans="1:4" x14ac:dyDescent="0.25">
      <c r="A408">
        <v>407</v>
      </c>
      <c r="B408">
        <v>4.4956011678464822</v>
      </c>
      <c r="C408">
        <v>4.4945107035866663</v>
      </c>
      <c r="D408">
        <v>0.44381895374509561</v>
      </c>
    </row>
    <row r="409" spans="1:4" x14ac:dyDescent="0.25">
      <c r="A409">
        <v>408</v>
      </c>
      <c r="B409">
        <v>4.4956992150087256</v>
      </c>
      <c r="C409">
        <v>4.4945107035866663</v>
      </c>
      <c r="D409">
        <v>0.48491266020020873</v>
      </c>
    </row>
    <row r="410" spans="1:4" x14ac:dyDescent="0.25">
      <c r="A410">
        <v>409</v>
      </c>
      <c r="B410">
        <v>4.4957931015928239</v>
      </c>
      <c r="C410">
        <v>4.4945107035866663</v>
      </c>
      <c r="D410">
        <v>0.52450078451845528</v>
      </c>
    </row>
    <row r="411" spans="1:4" x14ac:dyDescent="0.25">
      <c r="A411">
        <v>410</v>
      </c>
      <c r="B411">
        <v>4.4958828686179508</v>
      </c>
      <c r="C411">
        <v>4.4945107035866663</v>
      </c>
      <c r="D411">
        <v>0.56258766282667239</v>
      </c>
    </row>
    <row r="412" spans="1:4" x14ac:dyDescent="0.25">
      <c r="A412">
        <v>411</v>
      </c>
      <c r="B412">
        <v>4.4959685566449892</v>
      </c>
      <c r="C412">
        <v>4.4945107035866663</v>
      </c>
      <c r="D412">
        <v>0.59917760697071643</v>
      </c>
    </row>
    <row r="413" spans="1:4" x14ac:dyDescent="0.25">
      <c r="A413">
        <v>412</v>
      </c>
      <c r="B413">
        <v>4.4960502058058731</v>
      </c>
      <c r="C413">
        <v>4.4945107035866663</v>
      </c>
      <c r="D413">
        <v>0.63427491431322025</v>
      </c>
    </row>
    <row r="414" spans="1:4" x14ac:dyDescent="0.25">
      <c r="A414">
        <v>413</v>
      </c>
      <c r="B414">
        <v>4.4961278557993598</v>
      </c>
      <c r="C414">
        <v>4.4945107035866663</v>
      </c>
      <c r="D414">
        <v>0.66788386384243204</v>
      </c>
    </row>
    <row r="415" spans="1:4" x14ac:dyDescent="0.25">
      <c r="A415">
        <v>414</v>
      </c>
      <c r="B415">
        <v>4.4962015459057234</v>
      </c>
      <c r="C415">
        <v>4.4945107035866663</v>
      </c>
      <c r="D415">
        <v>0.70000872008965587</v>
      </c>
    </row>
    <row r="416" spans="1:4" x14ac:dyDescent="0.25">
      <c r="A416">
        <v>415</v>
      </c>
      <c r="B416">
        <v>4.4962713149692775</v>
      </c>
      <c r="C416">
        <v>4.4945107035866663</v>
      </c>
      <c r="D416">
        <v>0.73065372378364302</v>
      </c>
    </row>
    <row r="417" spans="1:4" x14ac:dyDescent="0.25">
      <c r="A417">
        <v>416</v>
      </c>
      <c r="B417">
        <v>4.496337201428374</v>
      </c>
      <c r="C417">
        <v>4.4945107035866663</v>
      </c>
      <c r="D417">
        <v>0.75982310215042048</v>
      </c>
    </row>
    <row r="418" spans="1:4" x14ac:dyDescent="0.25">
      <c r="A418">
        <v>417</v>
      </c>
      <c r="B418">
        <v>4.4963992433256426</v>
      </c>
      <c r="C418">
        <v>4.4945107035866663</v>
      </c>
      <c r="D418">
        <v>0.78752107115311354</v>
      </c>
    </row>
    <row r="419" spans="1:4" x14ac:dyDescent="0.25">
      <c r="A419">
        <v>418</v>
      </c>
      <c r="B419">
        <v>4.4964574782633715</v>
      </c>
      <c r="C419">
        <v>4.4945107035866663</v>
      </c>
      <c r="D419">
        <v>0.81375181486278692</v>
      </c>
    </row>
    <row r="420" spans="1:4" x14ac:dyDescent="0.25">
      <c r="A420">
        <v>419</v>
      </c>
      <c r="B420">
        <v>4.4965119434717904</v>
      </c>
      <c r="C420">
        <v>4.4945107035866663</v>
      </c>
      <c r="D420">
        <v>0.8385195118670099</v>
      </c>
    </row>
    <row r="421" spans="1:4" x14ac:dyDescent="0.25">
      <c r="A421">
        <v>420</v>
      </c>
      <c r="B421">
        <v>4.4965626757860191</v>
      </c>
      <c r="C421">
        <v>4.4945107035866663</v>
      </c>
      <c r="D421">
        <v>0.86182832372818652</v>
      </c>
    </row>
    <row r="422" spans="1:4" x14ac:dyDescent="0.25">
      <c r="A422">
        <v>421</v>
      </c>
      <c r="B422">
        <v>4.4966097116311685</v>
      </c>
      <c r="C422">
        <v>4.4945107035866663</v>
      </c>
      <c r="D422">
        <v>0.88368238673544663</v>
      </c>
    </row>
    <row r="423" spans="1:4" x14ac:dyDescent="0.25">
      <c r="A423">
        <v>422</v>
      </c>
      <c r="B423">
        <v>4.49665308706797</v>
      </c>
      <c r="C423">
        <v>4.4945107035866663</v>
      </c>
      <c r="D423">
        <v>0.90408582911015678</v>
      </c>
    </row>
    <row r="424" spans="1:4" x14ac:dyDescent="0.25">
      <c r="A424">
        <v>423</v>
      </c>
      <c r="B424">
        <v>4.4966928377612252</v>
      </c>
      <c r="C424">
        <v>4.4945107035866663</v>
      </c>
      <c r="D424">
        <v>0.92304275583842532</v>
      </c>
    </row>
    <row r="425" spans="1:4" x14ac:dyDescent="0.25">
      <c r="A425">
        <v>424</v>
      </c>
      <c r="B425">
        <v>4.4967289990051702</v>
      </c>
      <c r="C425">
        <v>4.4945107035866663</v>
      </c>
      <c r="D425">
        <v>0.94055725744566843</v>
      </c>
    </row>
    <row r="426" spans="1:4" x14ac:dyDescent="0.25">
      <c r="A426">
        <v>425</v>
      </c>
      <c r="B426">
        <v>4.4967616057311721</v>
      </c>
      <c r="C426">
        <v>4.4945107035866663</v>
      </c>
      <c r="D426">
        <v>0.95663341141498659</v>
      </c>
    </row>
    <row r="427" spans="1:4" x14ac:dyDescent="0.25">
      <c r="A427">
        <v>426</v>
      </c>
      <c r="B427">
        <v>4.4967906924808521</v>
      </c>
      <c r="C427">
        <v>4.4945107035866663</v>
      </c>
      <c r="D427">
        <v>0.97127526892314719</v>
      </c>
    </row>
    <row r="428" spans="1:4" x14ac:dyDescent="0.25">
      <c r="A428">
        <v>427</v>
      </c>
      <c r="B428">
        <v>4.49681629345692</v>
      </c>
      <c r="C428">
        <v>4.4945107035866663</v>
      </c>
      <c r="D428">
        <v>0.98448687459835327</v>
      </c>
    </row>
    <row r="429" spans="1:4" x14ac:dyDescent="0.25">
      <c r="A429">
        <v>428</v>
      </c>
      <c r="B429">
        <v>4.4968384424902617</v>
      </c>
      <c r="C429">
        <v>4.4945107035866663</v>
      </c>
      <c r="D429">
        <v>0.99627225073882641</v>
      </c>
    </row>
    <row r="430" spans="1:4" x14ac:dyDescent="0.25">
      <c r="A430">
        <v>429</v>
      </c>
      <c r="B430">
        <v>4.4968571730698139</v>
      </c>
      <c r="C430">
        <v>4.4945107035866663</v>
      </c>
      <c r="D430">
        <v>1.0066354082703421</v>
      </c>
    </row>
    <row r="431" spans="1:4" x14ac:dyDescent="0.25">
      <c r="A431">
        <v>430</v>
      </c>
      <c r="B431">
        <v>4.4968725183190905</v>
      </c>
      <c r="C431">
        <v>4.4945107035866663</v>
      </c>
      <c r="D431">
        <v>1.0155803349424275</v>
      </c>
    </row>
    <row r="432" spans="1:4" x14ac:dyDescent="0.25">
      <c r="A432">
        <v>431</v>
      </c>
      <c r="B432">
        <v>4.4968845110264555</v>
      </c>
      <c r="C432">
        <v>4.4945107035866663</v>
      </c>
      <c r="D432">
        <v>1.0231110065491498</v>
      </c>
    </row>
    <row r="433" spans="1:4" x14ac:dyDescent="0.25">
      <c r="A433">
        <v>432</v>
      </c>
      <c r="B433">
        <v>4.4968931836350539</v>
      </c>
      <c r="C433">
        <v>4.4945107035866663</v>
      </c>
      <c r="D433">
        <v>1.0292313809034397</v>
      </c>
    </row>
    <row r="434" spans="1:4" x14ac:dyDescent="0.25">
      <c r="A434">
        <v>433</v>
      </c>
      <c r="B434">
        <v>4.4968985682557543</v>
      </c>
      <c r="C434">
        <v>4.4945107035866663</v>
      </c>
      <c r="D434">
        <v>1.0339454017151146</v>
      </c>
    </row>
    <row r="435" spans="1:4" x14ac:dyDescent="0.25">
      <c r="A435">
        <v>434</v>
      </c>
      <c r="B435">
        <v>4.4969006966633822</v>
      </c>
      <c r="C435">
        <v>4.4945107035866663</v>
      </c>
      <c r="D435">
        <v>1.0372569952947206</v>
      </c>
    </row>
    <row r="436" spans="1:4" x14ac:dyDescent="0.25">
      <c r="A436">
        <v>435</v>
      </c>
      <c r="B436">
        <v>4.4968996002989137</v>
      </c>
      <c r="C436">
        <v>4.4945107035866663</v>
      </c>
      <c r="D436">
        <v>1.0391700698276196</v>
      </c>
    </row>
    <row r="437" spans="1:4" x14ac:dyDescent="0.25">
      <c r="A437">
        <v>436</v>
      </c>
      <c r="B437">
        <v>4.4968953102838585</v>
      </c>
      <c r="C437">
        <v>4.4945107035866663</v>
      </c>
      <c r="D437">
        <v>1.039688519975801</v>
      </c>
    </row>
    <row r="438" spans="1:4" x14ac:dyDescent="0.25">
      <c r="A438">
        <v>437</v>
      </c>
      <c r="B438">
        <v>4.4968878574272146</v>
      </c>
      <c r="C438">
        <v>4.4945107035866663</v>
      </c>
      <c r="D438">
        <v>1.0388162283196394</v>
      </c>
    </row>
    <row r="439" spans="1:4" x14ac:dyDescent="0.25">
      <c r="A439">
        <v>438</v>
      </c>
      <c r="B439">
        <v>4.4968772722043608</v>
      </c>
      <c r="C439">
        <v>4.4945107035866663</v>
      </c>
      <c r="D439">
        <v>1.0365570545502241</v>
      </c>
    </row>
    <row r="440" spans="1:4" x14ac:dyDescent="0.25">
      <c r="A440">
        <v>439</v>
      </c>
      <c r="B440">
        <v>4.4968635847809857</v>
      </c>
      <c r="C440">
        <v>4.4945107035866663</v>
      </c>
      <c r="D440">
        <v>1.0329148443062266</v>
      </c>
    </row>
    <row r="441" spans="1:4" x14ac:dyDescent="0.25">
      <c r="A441">
        <v>440</v>
      </c>
      <c r="B441">
        <v>4.4968468250115947</v>
      </c>
      <c r="C441">
        <v>4.4945107035866663</v>
      </c>
      <c r="D441">
        <v>1.027893426968518</v>
      </c>
    </row>
    <row r="442" spans="1:4" x14ac:dyDescent="0.25">
      <c r="A442">
        <v>441</v>
      </c>
      <c r="B442">
        <v>4.4968270224625648</v>
      </c>
      <c r="C442">
        <v>4.4945107035866663</v>
      </c>
      <c r="D442">
        <v>1.0214966242712649</v>
      </c>
    </row>
    <row r="443" spans="1:4" x14ac:dyDescent="0.25">
      <c r="A443">
        <v>442</v>
      </c>
      <c r="B443">
        <v>4.4968042063690454</v>
      </c>
      <c r="C443">
        <v>4.4945107035866663</v>
      </c>
      <c r="D443">
        <v>1.0137282298115906</v>
      </c>
    </row>
    <row r="444" spans="1:4" x14ac:dyDescent="0.25">
      <c r="A444">
        <v>443</v>
      </c>
      <c r="B444">
        <v>4.4967784056940854</v>
      </c>
      <c r="C444">
        <v>4.4945107035866663</v>
      </c>
      <c r="D444">
        <v>1.0045920335866665</v>
      </c>
    </row>
    <row r="445" spans="1:4" x14ac:dyDescent="0.25">
      <c r="A445">
        <v>444</v>
      </c>
      <c r="B445">
        <v>4.4967496490864818</v>
      </c>
      <c r="C445">
        <v>4.4945107035866663</v>
      </c>
      <c r="D445">
        <v>0.99409180191808844</v>
      </c>
    </row>
    <row r="446" spans="1:4" x14ac:dyDescent="0.25">
      <c r="A446">
        <v>445</v>
      </c>
      <c r="B446">
        <v>4.496717964905101</v>
      </c>
      <c r="C446">
        <v>4.4945107035866663</v>
      </c>
      <c r="D446">
        <v>0.98223128670345883</v>
      </c>
    </row>
    <row r="447" spans="1:4" x14ac:dyDescent="0.25">
      <c r="A447">
        <v>446</v>
      </c>
      <c r="B447">
        <v>4.4966833812306168</v>
      </c>
      <c r="C447">
        <v>4.4945107035866663</v>
      </c>
      <c r="D447">
        <v>0.96901422920195479</v>
      </c>
    </row>
    <row r="448" spans="1:4" x14ac:dyDescent="0.25">
      <c r="A448">
        <v>447</v>
      </c>
      <c r="B448">
        <v>4.4966459258473819</v>
      </c>
      <c r="C448">
        <v>4.4945107035866663</v>
      </c>
      <c r="D448">
        <v>0.95444435053987675</v>
      </c>
    </row>
    <row r="449" spans="1:4" x14ac:dyDescent="0.25">
      <c r="A449">
        <v>448</v>
      </c>
      <c r="B449">
        <v>4.4966056262717942</v>
      </c>
      <c r="C449">
        <v>4.4945107035866663</v>
      </c>
      <c r="D449">
        <v>0.93852536293729827</v>
      </c>
    </row>
    <row r="450" spans="1:4" x14ac:dyDescent="0.25">
      <c r="A450">
        <v>449</v>
      </c>
      <c r="B450">
        <v>4.4965625097222706</v>
      </c>
      <c r="C450">
        <v>4.4945107035866663</v>
      </c>
      <c r="D450">
        <v>0.92126095488632842</v>
      </c>
    </row>
    <row r="451" spans="1:4" x14ac:dyDescent="0.25">
      <c r="A451">
        <v>450</v>
      </c>
      <c r="B451">
        <v>4.4965166031521049</v>
      </c>
      <c r="C451">
        <v>4.4945107035866663</v>
      </c>
      <c r="D451">
        <v>0.90265480444737811</v>
      </c>
    </row>
    <row r="452" spans="1:4" x14ac:dyDescent="0.25">
      <c r="A452">
        <v>451</v>
      </c>
      <c r="B452">
        <v>4.4964679332533297</v>
      </c>
      <c r="C452">
        <v>4.4945107035866663</v>
      </c>
      <c r="D452">
        <v>0.8827105796652166</v>
      </c>
    </row>
    <row r="453" spans="1:4" x14ac:dyDescent="0.25">
      <c r="A453">
        <v>452</v>
      </c>
      <c r="B453">
        <v>4.4964165264245803</v>
      </c>
      <c r="C453">
        <v>4.4945107035866663</v>
      </c>
      <c r="D453">
        <v>0.86143192273716096</v>
      </c>
    </row>
    <row r="454" spans="1:4" x14ac:dyDescent="0.25">
      <c r="A454">
        <v>453</v>
      </c>
      <c r="B454">
        <v>4.4963624088174141</v>
      </c>
      <c r="C454">
        <v>4.4945107035866663</v>
      </c>
      <c r="D454">
        <v>0.83882246952877448</v>
      </c>
    </row>
    <row r="455" spans="1:4" x14ac:dyDescent="0.25">
      <c r="A455">
        <v>454</v>
      </c>
      <c r="B455">
        <v>4.4963056063263265</v>
      </c>
      <c r="C455">
        <v>4.4945107035866663</v>
      </c>
      <c r="D455">
        <v>0.81488584380573492</v>
      </c>
    </row>
    <row r="456" spans="1:4" x14ac:dyDescent="0.25">
      <c r="A456">
        <v>455</v>
      </c>
      <c r="B456">
        <v>4.4962461445548856</v>
      </c>
      <c r="C456">
        <v>4.4945107035866663</v>
      </c>
      <c r="D456">
        <v>0.78962564053978834</v>
      </c>
    </row>
    <row r="457" spans="1:4" x14ac:dyDescent="0.25">
      <c r="A457">
        <v>456</v>
      </c>
      <c r="B457">
        <v>4.4961840488794476</v>
      </c>
      <c r="C457">
        <v>4.4945107035866663</v>
      </c>
      <c r="D457">
        <v>0.76304545350826913</v>
      </c>
    </row>
    <row r="458" spans="1:4" x14ac:dyDescent="0.25">
      <c r="A458">
        <v>457</v>
      </c>
      <c r="B458">
        <v>4.4961193444215217</v>
      </c>
      <c r="C458">
        <v>4.4945107035866663</v>
      </c>
      <c r="D458">
        <v>0.73514886152894388</v>
      </c>
    </row>
    <row r="459" spans="1:4" x14ac:dyDescent="0.25">
      <c r="A459">
        <v>458</v>
      </c>
      <c r="B459">
        <v>4.4960520560278754</v>
      </c>
      <c r="C459">
        <v>4.4945107035866663</v>
      </c>
      <c r="D459">
        <v>0.70593941807377725</v>
      </c>
    </row>
    <row r="460" spans="1:4" x14ac:dyDescent="0.25">
      <c r="A460">
        <v>459</v>
      </c>
      <c r="B460">
        <v>4.4959822083216405</v>
      </c>
      <c r="C460">
        <v>4.4945107035866663</v>
      </c>
      <c r="D460">
        <v>0.67542067335318556</v>
      </c>
    </row>
    <row r="461" spans="1:4" x14ac:dyDescent="0.25">
      <c r="A461">
        <v>460</v>
      </c>
      <c r="B461">
        <v>4.4959098256735777</v>
      </c>
      <c r="C461">
        <v>4.4945107035866663</v>
      </c>
      <c r="D461">
        <v>0.6435961599792428</v>
      </c>
    </row>
    <row r="462" spans="1:4" x14ac:dyDescent="0.25">
      <c r="A462">
        <v>461</v>
      </c>
      <c r="B462">
        <v>4.4958349322052049</v>
      </c>
      <c r="C462">
        <v>4.4945107035866663</v>
      </c>
      <c r="D462">
        <v>0.61046939314631654</v>
      </c>
    </row>
    <row r="463" spans="1:4" x14ac:dyDescent="0.25">
      <c r="A463">
        <v>462</v>
      </c>
      <c r="B463">
        <v>4.4957575518042043</v>
      </c>
      <c r="C463">
        <v>4.4945107035866663</v>
      </c>
      <c r="D463">
        <v>0.57604387650258637</v>
      </c>
    </row>
    <row r="464" spans="1:4" x14ac:dyDescent="0.25">
      <c r="A464">
        <v>463</v>
      </c>
      <c r="B464">
        <v>4.4956777081245454</v>
      </c>
      <c r="C464">
        <v>4.4945107035866663</v>
      </c>
      <c r="D464">
        <v>0.54032310103802406</v>
      </c>
    </row>
    <row r="465" spans="1:4" x14ac:dyDescent="0.25">
      <c r="A465">
        <v>464</v>
      </c>
      <c r="B465">
        <v>4.4955954245770284</v>
      </c>
      <c r="C465">
        <v>4.4945107035866663</v>
      </c>
      <c r="D465">
        <v>0.50331053952804439</v>
      </c>
    </row>
    <row r="466" spans="1:4" x14ac:dyDescent="0.25">
      <c r="A466">
        <v>465</v>
      </c>
      <c r="B466">
        <v>4.4955107243460706</v>
      </c>
      <c r="C466">
        <v>4.4945107035866663</v>
      </c>
      <c r="D466">
        <v>0.46500965312300302</v>
      </c>
    </row>
    <row r="467" spans="1:4" x14ac:dyDescent="0.25">
      <c r="A467">
        <v>466</v>
      </c>
      <c r="B467">
        <v>4.4954236303936081</v>
      </c>
      <c r="C467">
        <v>4.4945107035866663</v>
      </c>
      <c r="D467">
        <v>0.42542389203491737</v>
      </c>
    </row>
    <row r="468" spans="1:4" x14ac:dyDescent="0.25">
      <c r="A468">
        <v>467</v>
      </c>
      <c r="B468">
        <v>4.4953341654520491</v>
      </c>
      <c r="C468">
        <v>4.4945107035866663</v>
      </c>
      <c r="D468">
        <v>0.38455669113378921</v>
      </c>
    </row>
    <row r="469" spans="1:4" x14ac:dyDescent="0.25">
      <c r="A469">
        <v>468</v>
      </c>
      <c r="B469">
        <v>4.4952423520137836</v>
      </c>
      <c r="C469">
        <v>4.4945107035866663</v>
      </c>
      <c r="D469">
        <v>0.34241146389092947</v>
      </c>
    </row>
    <row r="470" spans="1:4" x14ac:dyDescent="0.25">
      <c r="A470">
        <v>469</v>
      </c>
      <c r="B470">
        <v>4.495148212369025</v>
      </c>
      <c r="C470">
        <v>4.4945107035866663</v>
      </c>
      <c r="D470">
        <v>0.29899161892622406</v>
      </c>
    </row>
    <row r="471" spans="1:4" x14ac:dyDescent="0.25">
      <c r="A471">
        <v>470</v>
      </c>
      <c r="B471">
        <v>4.4950517685815194</v>
      </c>
      <c r="C471">
        <v>4.4945107035866663</v>
      </c>
      <c r="D471">
        <v>0.25430054758099452</v>
      </c>
    </row>
    <row r="472" spans="1:4" x14ac:dyDescent="0.25">
      <c r="A472">
        <v>471</v>
      </c>
      <c r="B472">
        <v>4.4949530425114936</v>
      </c>
      <c r="C472">
        <v>4.4945107035866663</v>
      </c>
      <c r="D472">
        <v>0.20834163359369029</v>
      </c>
    </row>
    <row r="473" spans="1:4" x14ac:dyDescent="0.25">
      <c r="A473">
        <v>472</v>
      </c>
      <c r="B473">
        <v>4.4948520557802727</v>
      </c>
      <c r="C473">
        <v>4.4945107035866663</v>
      </c>
      <c r="D473">
        <v>0.16111823538223291</v>
      </c>
    </row>
    <row r="474" spans="1:4" x14ac:dyDescent="0.25">
      <c r="A474">
        <v>473</v>
      </c>
      <c r="B474">
        <v>4.4947488298204865</v>
      </c>
      <c r="C474">
        <v>4.4945107035866663</v>
      </c>
      <c r="D474">
        <v>0.11263370859697641</v>
      </c>
    </row>
    <row r="475" spans="1:4" x14ac:dyDescent="0.25">
      <c r="A475">
        <v>474</v>
      </c>
      <c r="B475">
        <v>4.4946433858472288</v>
      </c>
      <c r="C475">
        <v>4.4945107035866663</v>
      </c>
      <c r="D475">
        <v>6.2891391506630256E-2</v>
      </c>
    </row>
    <row r="476" spans="1:4" x14ac:dyDescent="0.25">
      <c r="A476">
        <v>475</v>
      </c>
      <c r="B476">
        <v>4.494535744864586</v>
      </c>
      <c r="C476">
        <v>4.4945107035866663</v>
      </c>
      <c r="D476">
        <v>1.1894607011853076E-2</v>
      </c>
    </row>
    <row r="477" spans="1:4" x14ac:dyDescent="0.25">
      <c r="A477">
        <v>476</v>
      </c>
      <c r="B477">
        <v>4.4944259276768292</v>
      </c>
      <c r="C477">
        <v>4.4945107035866663</v>
      </c>
      <c r="D477">
        <v>-4.0353333082421727E-2</v>
      </c>
    </row>
    <row r="478" spans="1:4" x14ac:dyDescent="0.25">
      <c r="A478">
        <v>477</v>
      </c>
      <c r="B478">
        <v>4.4943139548866879</v>
      </c>
      <c r="C478">
        <v>4.4945107035866663</v>
      </c>
      <c r="D478">
        <v>-9.3849129889659544E-2</v>
      </c>
    </row>
    <row r="479" spans="1:4" x14ac:dyDescent="0.25">
      <c r="A479">
        <v>478</v>
      </c>
      <c r="B479">
        <v>4.4941998468958175</v>
      </c>
      <c r="C479">
        <v>4.4945107035866663</v>
      </c>
      <c r="D479">
        <v>-0.14858949822569656</v>
      </c>
    </row>
    <row r="480" spans="1:4" x14ac:dyDescent="0.25">
      <c r="A480">
        <v>479</v>
      </c>
      <c r="B480">
        <v>4.4940836239071169</v>
      </c>
      <c r="C480">
        <v>4.4945107035866663</v>
      </c>
      <c r="D480">
        <v>-0.20457116650414253</v>
      </c>
    </row>
    <row r="481" spans="1:4" x14ac:dyDescent="0.25">
      <c r="A481">
        <v>480</v>
      </c>
      <c r="B481">
        <v>4.4939653059343279</v>
      </c>
      <c r="C481">
        <v>4.4945107035866663</v>
      </c>
      <c r="D481">
        <v>-0.2617908731224361</v>
      </c>
    </row>
    <row r="482" spans="1:4" x14ac:dyDescent="0.25">
      <c r="A482">
        <v>481</v>
      </c>
      <c r="B482">
        <v>4.4938449127805811</v>
      </c>
      <c r="C482">
        <v>4.4945107035866663</v>
      </c>
      <c r="D482">
        <v>-0.32024537772698025</v>
      </c>
    </row>
    <row r="483" spans="1:4" x14ac:dyDescent="0.25">
      <c r="A483">
        <v>482</v>
      </c>
      <c r="B483">
        <v>4.4937224640841897</v>
      </c>
      <c r="C483">
        <v>4.4945107035866663</v>
      </c>
      <c r="D483">
        <v>-0.37993144019368685</v>
      </c>
    </row>
    <row r="484" spans="1:4" x14ac:dyDescent="0.25">
      <c r="A484">
        <v>483</v>
      </c>
      <c r="B484">
        <v>4.4935979792738499</v>
      </c>
      <c r="C484">
        <v>4.4945107035866663</v>
      </c>
      <c r="D484">
        <v>-0.44084584309032859</v>
      </c>
    </row>
    <row r="485" spans="1:4" x14ac:dyDescent="0.25">
      <c r="A485">
        <v>484</v>
      </c>
      <c r="B485">
        <v>4.4934714775971072</v>
      </c>
      <c r="C485">
        <v>4.4945107035866663</v>
      </c>
      <c r="D485">
        <v>-0.5029853789465939</v>
      </c>
    </row>
    <row r="486" spans="1:4" x14ac:dyDescent="0.25">
      <c r="A486">
        <v>485</v>
      </c>
      <c r="B486">
        <v>4.4933429781118575</v>
      </c>
      <c r="C486">
        <v>4.4945107035866663</v>
      </c>
      <c r="D486">
        <v>-0.56634685528227369</v>
      </c>
    </row>
    <row r="487" spans="1:4" x14ac:dyDescent="0.25">
      <c r="A487">
        <v>486</v>
      </c>
      <c r="B487">
        <v>4.4932124997071448</v>
      </c>
      <c r="C487">
        <v>4.4945107035866663</v>
      </c>
      <c r="D487">
        <v>-0.63092708544745335</v>
      </c>
    </row>
    <row r="488" spans="1:4" x14ac:dyDescent="0.25">
      <c r="A488">
        <v>487</v>
      </c>
      <c r="B488">
        <v>4.4930800610780013</v>
      </c>
      <c r="C488">
        <v>4.4945107035866663</v>
      </c>
      <c r="D488">
        <v>-0.69672290171984574</v>
      </c>
    </row>
    <row r="489" spans="1:4" x14ac:dyDescent="0.25">
      <c r="A489">
        <v>488</v>
      </c>
      <c r="B489">
        <v>4.4929456807452102</v>
      </c>
      <c r="C489">
        <v>4.4945107035866663</v>
      </c>
      <c r="D489">
        <v>-0.76373114663057606</v>
      </c>
    </row>
    <row r="490" spans="1:4" x14ac:dyDescent="0.25">
      <c r="A490">
        <v>489</v>
      </c>
      <c r="B490">
        <v>4.4928093770451643</v>
      </c>
      <c r="C490">
        <v>4.4945107035866663</v>
      </c>
      <c r="D490">
        <v>-0.83194867879448431</v>
      </c>
    </row>
    <row r="491" spans="1:4" x14ac:dyDescent="0.25">
      <c r="A491">
        <v>490</v>
      </c>
      <c r="B491">
        <v>4.4926711681540645</v>
      </c>
      <c r="C491">
        <v>4.4945107035866663</v>
      </c>
      <c r="D491">
        <v>-0.90137236197485038</v>
      </c>
    </row>
    <row r="492" spans="1:4" x14ac:dyDescent="0.25">
      <c r="A492">
        <v>491</v>
      </c>
      <c r="B492">
        <v>4.4925310720531204</v>
      </c>
      <c r="C492">
        <v>4.4945107035866663</v>
      </c>
      <c r="D492">
        <v>-0.97199908297101523</v>
      </c>
    </row>
    <row r="493" spans="1:4" x14ac:dyDescent="0.25">
      <c r="A493">
        <v>492</v>
      </c>
      <c r="B493">
        <v>4.492389106585196</v>
      </c>
      <c r="C493">
        <v>4.4945107035866663</v>
      </c>
      <c r="D493">
        <v>-1.0438257247233871</v>
      </c>
    </row>
    <row r="494" spans="1:4" x14ac:dyDescent="0.25">
      <c r="A494">
        <v>493</v>
      </c>
      <c r="B494">
        <v>4.4922452893968297</v>
      </c>
      <c r="C494">
        <v>4.4945107035866663</v>
      </c>
      <c r="D494">
        <v>-1.1168491955894497</v>
      </c>
    </row>
    <row r="495" spans="1:4" x14ac:dyDescent="0.25">
      <c r="A495">
        <v>494</v>
      </c>
      <c r="B495">
        <v>4.4920996379615135</v>
      </c>
      <c r="C495">
        <v>4.4945107035866663</v>
      </c>
      <c r="D495">
        <v>-1.1910664188254874</v>
      </c>
    </row>
    <row r="496" spans="1:4" x14ac:dyDescent="0.25">
      <c r="A496">
        <v>495</v>
      </c>
      <c r="B496">
        <v>4.4919521696250539</v>
      </c>
      <c r="C496">
        <v>4.4945107035866663</v>
      </c>
      <c r="D496">
        <v>-1.266474310998098</v>
      </c>
    </row>
    <row r="497" spans="1:4" x14ac:dyDescent="0.25">
      <c r="A497">
        <v>496</v>
      </c>
      <c r="B497">
        <v>4.49180290151864</v>
      </c>
      <c r="C497">
        <v>4.4945107035866663</v>
      </c>
      <c r="D497">
        <v>-1.3430698257410114</v>
      </c>
    </row>
    <row r="498" spans="1:4" x14ac:dyDescent="0.25">
      <c r="A498">
        <v>497</v>
      </c>
      <c r="B498">
        <v>4.4916518506438727</v>
      </c>
      <c r="C498">
        <v>4.4945107035866663</v>
      </c>
      <c r="D498">
        <v>-1.4208499125683858</v>
      </c>
    </row>
    <row r="499" spans="1:4" x14ac:dyDescent="0.25">
      <c r="A499">
        <v>498</v>
      </c>
      <c r="B499">
        <v>4.4914990338462104</v>
      </c>
      <c r="C499">
        <v>4.4945107035866663</v>
      </c>
      <c r="D499">
        <v>-1.4998115307470172</v>
      </c>
    </row>
    <row r="500" spans="1:4" x14ac:dyDescent="0.25">
      <c r="A500">
        <v>499</v>
      </c>
      <c r="B500">
        <v>4.4913444677841161</v>
      </c>
      <c r="C500">
        <v>4.4945107035866663</v>
      </c>
      <c r="D500">
        <v>-1.5799516654725272</v>
      </c>
    </row>
    <row r="501" spans="1:4" x14ac:dyDescent="0.25">
      <c r="A501">
        <v>500</v>
      </c>
      <c r="B501">
        <v>4.4911881689840696</v>
      </c>
      <c r="C501">
        <v>4.4945107035866663</v>
      </c>
      <c r="D501">
        <v>-1.6612673012983414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6E7C-CB79-D743-90AD-65B28055126C}">
  <sheetPr codeName="Feuil4"/>
  <dimension ref="A1:F24"/>
  <sheetViews>
    <sheetView zoomScale="85" zoomScaleNormal="85" workbookViewId="0">
      <selection activeCell="C44" sqref="C44"/>
    </sheetView>
  </sheetViews>
  <sheetFormatPr baseColWidth="10" defaultRowHeight="15" x14ac:dyDescent="0.25"/>
  <cols>
    <col min="1" max="1" width="9" customWidth="1"/>
    <col min="2" max="2" width="25" customWidth="1"/>
    <col min="3" max="3" width="23.28515625" bestFit="1" customWidth="1"/>
    <col min="4" max="4" width="25" bestFit="1" customWidth="1"/>
    <col min="5" max="5" width="15.7109375" bestFit="1" customWidth="1"/>
  </cols>
  <sheetData>
    <row r="1" spans="1:6" x14ac:dyDescent="0.25">
      <c r="A1" t="s">
        <v>17</v>
      </c>
      <c r="B1" t="s">
        <v>14</v>
      </c>
      <c r="C1" t="s">
        <v>15</v>
      </c>
      <c r="D1" t="s">
        <v>20</v>
      </c>
      <c r="E1" t="s">
        <v>45</v>
      </c>
      <c r="F1" t="s">
        <v>46</v>
      </c>
    </row>
    <row r="2" spans="1:6" x14ac:dyDescent="0.25">
      <c r="A2">
        <v>104</v>
      </c>
      <c r="B2">
        <v>8.0578375046626594</v>
      </c>
      <c r="C2">
        <v>8.0897040333148382</v>
      </c>
      <c r="D2">
        <v>-3.1866528652178872E-2</v>
      </c>
    </row>
    <row r="3" spans="1:6" x14ac:dyDescent="0.25">
      <c r="A3">
        <v>105</v>
      </c>
      <c r="B3">
        <v>7.7165391790331554</v>
      </c>
      <c r="C3">
        <v>7.6889275880933212</v>
      </c>
      <c r="D3">
        <v>2.761159093983423E-2</v>
      </c>
      <c r="E3">
        <v>-0.34129832562950391</v>
      </c>
      <c r="F3">
        <v>-0.40077644522151701</v>
      </c>
    </row>
    <row r="4" spans="1:6" x14ac:dyDescent="0.25">
      <c r="A4">
        <v>106</v>
      </c>
      <c r="B4">
        <v>7.3752408534036498</v>
      </c>
      <c r="C4">
        <v>7.3040038782997456</v>
      </c>
      <c r="D4">
        <v>7.1236975103904143E-2</v>
      </c>
      <c r="E4">
        <v>-0.34129832562950568</v>
      </c>
      <c r="F4">
        <v>-0.3849237097935756</v>
      </c>
    </row>
    <row r="5" spans="1:6" x14ac:dyDescent="0.25">
      <c r="A5">
        <v>107</v>
      </c>
      <c r="B5">
        <v>7.0339425277741467</v>
      </c>
      <c r="C5">
        <v>6.9346046615199839</v>
      </c>
      <c r="D5">
        <v>9.9337866254162854E-2</v>
      </c>
      <c r="E5">
        <v>-0.34129832562950302</v>
      </c>
      <c r="F5">
        <v>-0.36939921677976173</v>
      </c>
    </row>
    <row r="6" spans="1:6" x14ac:dyDescent="0.25">
      <c r="A6">
        <v>108</v>
      </c>
      <c r="B6">
        <v>6.6926442021446428</v>
      </c>
      <c r="C6">
        <v>6.580385626483519</v>
      </c>
      <c r="D6">
        <v>0.11225857566112385</v>
      </c>
      <c r="E6">
        <v>-0.34129832562950391</v>
      </c>
      <c r="F6">
        <v>-0.3542190350364649</v>
      </c>
    </row>
    <row r="7" spans="1:6" x14ac:dyDescent="0.25">
      <c r="A7">
        <v>109</v>
      </c>
      <c r="B7">
        <v>6.351345876515138</v>
      </c>
      <c r="C7">
        <v>6.2409884219498437</v>
      </c>
      <c r="D7">
        <v>0.11035745456529433</v>
      </c>
      <c r="E7">
        <v>-0.3412983256295048</v>
      </c>
      <c r="F7">
        <v>-0.33939720453367528</v>
      </c>
    </row>
    <row r="8" spans="1:6" x14ac:dyDescent="0.25">
      <c r="A8">
        <v>110</v>
      </c>
      <c r="B8">
        <v>6.0100475508856341</v>
      </c>
      <c r="C8">
        <v>5.9160426328675371</v>
      </c>
      <c r="D8">
        <v>9.4004918018097072E-2</v>
      </c>
      <c r="E8">
        <v>-0.34129832562950391</v>
      </c>
      <c r="F8">
        <v>-0.32494578908230665</v>
      </c>
    </row>
    <row r="9" spans="1:6" x14ac:dyDescent="0.25">
      <c r="A9">
        <v>111</v>
      </c>
      <c r="B9">
        <v>5.6687492252561302</v>
      </c>
      <c r="C9">
        <v>5.6051676935331898</v>
      </c>
      <c r="D9">
        <v>6.3581531722940454E-2</v>
      </c>
      <c r="E9">
        <v>-0.34129832562950391</v>
      </c>
      <c r="F9">
        <v>-0.31087493933434729</v>
      </c>
    </row>
    <row r="10" spans="1:6" x14ac:dyDescent="0.25">
      <c r="A10">
        <v>112</v>
      </c>
      <c r="B10">
        <v>5.3274508996266254</v>
      </c>
      <c r="C10">
        <v>5.3079747289805255</v>
      </c>
      <c r="D10">
        <v>1.9476170646099966E-2</v>
      </c>
      <c r="E10">
        <v>-0.3412983256295048</v>
      </c>
      <c r="F10">
        <v>-0.29719296455266431</v>
      </c>
    </row>
    <row r="11" spans="1:6" x14ac:dyDescent="0.25">
      <c r="A11">
        <v>113</v>
      </c>
      <c r="B11">
        <v>4.9861525739971198</v>
      </c>
      <c r="C11">
        <v>5.0240683172741853</v>
      </c>
      <c r="D11">
        <v>-3.7915743277065594E-2</v>
      </c>
      <c r="E11">
        <v>-0.34129832562950568</v>
      </c>
      <c r="F11">
        <v>-0.28390641170634012</v>
      </c>
    </row>
    <row r="12" spans="1:6" x14ac:dyDescent="0.25">
      <c r="A12">
        <v>114</v>
      </c>
      <c r="B12">
        <v>4.6448542483676141</v>
      </c>
      <c r="C12">
        <v>4.753048166756237</v>
      </c>
      <c r="D12">
        <v>-0.10819391838862291</v>
      </c>
      <c r="E12">
        <v>-0.34129832562950568</v>
      </c>
      <c r="F12">
        <v>-0.27102015051794837</v>
      </c>
    </row>
    <row r="13" spans="1:6" x14ac:dyDescent="0.25">
      <c r="A13">
        <v>115</v>
      </c>
      <c r="B13">
        <v>4.3035559227381119</v>
      </c>
      <c r="C13">
        <v>4.4945107035866663</v>
      </c>
      <c r="D13">
        <v>-0.19095478084855433</v>
      </c>
      <c r="E13">
        <v>-0.34129832562950213</v>
      </c>
      <c r="F13">
        <v>-0.25853746316957071</v>
      </c>
    </row>
    <row r="14" spans="1:6" x14ac:dyDescent="0.25">
      <c r="A14">
        <v>116</v>
      </c>
      <c r="B14">
        <v>4.0979284719734705</v>
      </c>
      <c r="C14">
        <v>4.2480505661258654</v>
      </c>
      <c r="D14">
        <v>-0.15012209415239486</v>
      </c>
      <c r="E14">
        <v>-0.2056274507646414</v>
      </c>
      <c r="F14">
        <v>-0.24646013746080087</v>
      </c>
    </row>
    <row r="15" spans="1:6" x14ac:dyDescent="0.25">
      <c r="A15">
        <v>117</v>
      </c>
      <c r="B15">
        <v>3.9292950911566416</v>
      </c>
      <c r="C15">
        <v>4.013262003822188</v>
      </c>
      <c r="D15">
        <v>-8.3966912665546456E-2</v>
      </c>
      <c r="E15">
        <v>-0.16863338081682899</v>
      </c>
      <c r="F15">
        <v>-0.23478856230367739</v>
      </c>
    </row>
    <row r="16" spans="1:6" x14ac:dyDescent="0.25">
      <c r="A16">
        <v>118</v>
      </c>
      <c r="B16">
        <v>3.7606617103398152</v>
      </c>
      <c r="C16">
        <v>3.7897401792878291</v>
      </c>
      <c r="D16">
        <v>-2.9078468948013914E-2</v>
      </c>
      <c r="E16">
        <v>-0.16863338081682633</v>
      </c>
      <c r="F16">
        <v>-0.22352182453435887</v>
      </c>
    </row>
    <row r="17" spans="1:6" x14ac:dyDescent="0.25">
      <c r="A17">
        <v>119</v>
      </c>
      <c r="B17">
        <v>3.5920283295229867</v>
      </c>
      <c r="C17">
        <v>3.5770823731720931</v>
      </c>
      <c r="D17">
        <v>1.4945956350893574E-2</v>
      </c>
      <c r="E17">
        <v>-0.16863338081682855</v>
      </c>
      <c r="F17">
        <v>-0.21265780611573604</v>
      </c>
    </row>
    <row r="18" spans="1:6" x14ac:dyDescent="0.25">
      <c r="A18">
        <v>120</v>
      </c>
      <c r="B18">
        <v>3.4233949487061599</v>
      </c>
      <c r="C18">
        <v>3.3748890922703438</v>
      </c>
      <c r="D18">
        <v>4.8505856435816064E-2</v>
      </c>
      <c r="E18">
        <v>-0.16863338081682677</v>
      </c>
      <c r="F18">
        <v>-0.20219328090174926</v>
      </c>
    </row>
    <row r="19" spans="1:6" x14ac:dyDescent="0.25">
      <c r="A19">
        <v>121</v>
      </c>
      <c r="B19">
        <v>3.2547615678893309</v>
      </c>
      <c r="C19">
        <v>3.1827650820437761</v>
      </c>
      <c r="D19">
        <v>7.1996485845554847E-2</v>
      </c>
      <c r="E19">
        <v>-0.16863338081682899</v>
      </c>
      <c r="F19">
        <v>-0.19212401022656778</v>
      </c>
    </row>
    <row r="20" spans="1:6" x14ac:dyDescent="0.25">
      <c r="A20">
        <v>122</v>
      </c>
      <c r="B20">
        <v>3.0861281870725019</v>
      </c>
      <c r="C20">
        <v>3.0003202453704176</v>
      </c>
      <c r="D20">
        <v>8.5807941702084278E-2</v>
      </c>
      <c r="E20">
        <v>-0.16863338081682899</v>
      </c>
      <c r="F20">
        <v>-0.18244483667335842</v>
      </c>
    </row>
    <row r="21" spans="1:6" x14ac:dyDescent="0.25">
      <c r="A21">
        <v>123</v>
      </c>
      <c r="B21">
        <v>2.9174948062556743</v>
      </c>
      <c r="C21">
        <v>2.8271704699058446</v>
      </c>
      <c r="D21">
        <v>9.0324336349829615E-2</v>
      </c>
      <c r="E21">
        <v>-0.16863338081682766</v>
      </c>
      <c r="F21">
        <v>-0.173149775464573</v>
      </c>
    </row>
    <row r="22" spans="1:6" x14ac:dyDescent="0.25">
      <c r="A22">
        <v>124</v>
      </c>
      <c r="B22">
        <v>2.748861425438847</v>
      </c>
      <c r="C22">
        <v>2.662938366907337</v>
      </c>
      <c r="D22">
        <v>8.5923058531510055E-2</v>
      </c>
      <c r="E22">
        <v>-0.16863338081682722</v>
      </c>
      <c r="F22">
        <v>-0.16423210299850766</v>
      </c>
    </row>
    <row r="23" spans="1:6" x14ac:dyDescent="0.25">
      <c r="A23">
        <v>125</v>
      </c>
      <c r="B23">
        <v>2.5802280446220194</v>
      </c>
      <c r="C23">
        <v>2.5072539247708718</v>
      </c>
      <c r="D23">
        <v>7.2974119851147545E-2</v>
      </c>
      <c r="E23">
        <v>-0.16863338081682766</v>
      </c>
      <c r="F23">
        <v>-0.15568444213646515</v>
      </c>
    </row>
    <row r="24" spans="1:6" x14ac:dyDescent="0.25">
      <c r="A24">
        <v>126</v>
      </c>
      <c r="B24">
        <v>2.4115946638051908</v>
      </c>
      <c r="C24">
        <v>2.3597550808545087</v>
      </c>
      <c r="D24">
        <v>5.1839582950682139E-2</v>
      </c>
      <c r="E24">
        <v>-0.16863338081682855</v>
      </c>
      <c r="F24">
        <v>-0.14749884391636314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A9333-40E4-4BC6-AB60-9CBF30211AF7}">
  <sheetPr codeName="Feuil3"/>
  <dimension ref="A12:U30"/>
  <sheetViews>
    <sheetView zoomScale="70" zoomScaleNormal="70" workbookViewId="0">
      <selection activeCell="T16" sqref="T16"/>
    </sheetView>
  </sheetViews>
  <sheetFormatPr baseColWidth="10" defaultRowHeight="15" x14ac:dyDescent="0.25"/>
  <sheetData>
    <row r="12" spans="7:21" x14ac:dyDescent="0.25">
      <c r="U12">
        <v>225.22612000112653</v>
      </c>
    </row>
    <row r="13" spans="7:21" x14ac:dyDescent="0.25">
      <c r="Q13">
        <v>205.49243901423009</v>
      </c>
      <c r="R13">
        <v>205.66366017440535</v>
      </c>
      <c r="S13">
        <v>205.83502400010084</v>
      </c>
      <c r="T13">
        <v>206.00653061018875</v>
      </c>
      <c r="U13">
        <v>206.17818012364023</v>
      </c>
    </row>
    <row r="14" spans="7:21" x14ac:dyDescent="0.25">
      <c r="M14">
        <v>187.48776781221412</v>
      </c>
      <c r="N14">
        <v>187.64398705452533</v>
      </c>
      <c r="O14">
        <v>187.80033646240389</v>
      </c>
      <c r="P14">
        <v>187.95681614430686</v>
      </c>
      <c r="Q14">
        <v>188.11342620878156</v>
      </c>
      <c r="R14">
        <v>188.27016676446596</v>
      </c>
      <c r="S14">
        <v>188.42703792008834</v>
      </c>
      <c r="T14">
        <v>188.58403978446754</v>
      </c>
      <c r="U14">
        <v>188.74117246651335</v>
      </c>
    </row>
    <row r="15" spans="7:21" x14ac:dyDescent="0.25">
      <c r="I15">
        <v>171.06061540674261</v>
      </c>
      <c r="J15">
        <v>171.20314715716006</v>
      </c>
      <c r="K15">
        <v>171.34579766840281</v>
      </c>
      <c r="L15">
        <v>171.48856703942539</v>
      </c>
      <c r="M15">
        <v>171.63145536926442</v>
      </c>
      <c r="N15">
        <v>171.7744627570392</v>
      </c>
      <c r="O15">
        <v>171.91758930195175</v>
      </c>
      <c r="P15">
        <v>172.06083510328648</v>
      </c>
      <c r="Q15">
        <v>172.20420026041077</v>
      </c>
      <c r="R15">
        <v>172.34768487277461</v>
      </c>
      <c r="S15">
        <v>172.49128903991087</v>
      </c>
      <c r="T15">
        <v>172.63501286143551</v>
      </c>
      <c r="U15">
        <v>172.77885643704741</v>
      </c>
    </row>
    <row r="16" spans="7:21" x14ac:dyDescent="0.25">
      <c r="G16">
        <v>156.33295941670877</v>
      </c>
      <c r="H16">
        <v>156.46321973583966</v>
      </c>
      <c r="I16">
        <v>156.59358859094911</v>
      </c>
      <c r="J16">
        <v>156.72406607247186</v>
      </c>
      <c r="K16">
        <v>156.85465227091819</v>
      </c>
      <c r="L16">
        <v>156.98534727687343</v>
      </c>
      <c r="M16">
        <v>157.1161511809986</v>
      </c>
      <c r="N16">
        <v>157.24706407403031</v>
      </c>
      <c r="O16">
        <v>157.37808604678062</v>
      </c>
      <c r="P16">
        <v>157.50921719013738</v>
      </c>
      <c r="Q16">
        <v>157.64045759506413</v>
      </c>
      <c r="R16">
        <v>157.77180735260004</v>
      </c>
      <c r="S16">
        <v>157.90326655386048</v>
      </c>
      <c r="T16">
        <v>158.03483529003645</v>
      </c>
      <c r="U16">
        <v>158.16651365239514</v>
      </c>
    </row>
    <row r="17" spans="1:21" x14ac:dyDescent="0.25">
      <c r="E17">
        <v>142.87329752598902</v>
      </c>
      <c r="F17">
        <v>142.99234293650545</v>
      </c>
      <c r="G17">
        <v>143.11148753847343</v>
      </c>
      <c r="H17">
        <v>143.23073141454157</v>
      </c>
      <c r="I17">
        <v>143.35007464742736</v>
      </c>
      <c r="J17">
        <v>143.4695173199174</v>
      </c>
      <c r="K17">
        <v>143.58905951486702</v>
      </c>
      <c r="L17">
        <v>143.70870131520067</v>
      </c>
      <c r="M17">
        <v>143.82844280391197</v>
      </c>
      <c r="N17">
        <v>143.94828406406359</v>
      </c>
      <c r="O17">
        <v>144.06822517878746</v>
      </c>
      <c r="P17">
        <v>144.18826623128484</v>
      </c>
      <c r="Q17">
        <v>144.30840730482609</v>
      </c>
      <c r="R17">
        <v>144.42864848275124</v>
      </c>
      <c r="S17">
        <v>144.5489898484696</v>
      </c>
      <c r="T17">
        <v>144.66943148546005</v>
      </c>
      <c r="U17">
        <v>144.78997347727088</v>
      </c>
    </row>
    <row r="18" spans="1:21" x14ac:dyDescent="0.25">
      <c r="D18">
        <v>130.68125641918908</v>
      </c>
      <c r="E18">
        <v>130.79014313270807</v>
      </c>
      <c r="F18">
        <v>130.89912057321197</v>
      </c>
      <c r="G18">
        <v>131.00818881629669</v>
      </c>
      <c r="H18">
        <v>131.11734793762102</v>
      </c>
      <c r="I18">
        <v>131.22659801290695</v>
      </c>
      <c r="J18">
        <v>131.3359391179394</v>
      </c>
      <c r="K18">
        <v>131.44537132856652</v>
      </c>
      <c r="L18">
        <v>131.55489472069968</v>
      </c>
      <c r="M18">
        <v>131.66450937031343</v>
      </c>
      <c r="N18">
        <v>131.7742153534457</v>
      </c>
      <c r="O18">
        <v>131.8840127461977</v>
      </c>
      <c r="P18">
        <v>131.99390162473406</v>
      </c>
      <c r="Q18">
        <v>132.10388206528296</v>
      </c>
      <c r="R18">
        <v>132.21395414413601</v>
      </c>
      <c r="S18">
        <v>132.32411793764845</v>
      </c>
      <c r="T18">
        <v>132.43437352223901</v>
      </c>
      <c r="U18">
        <v>132.54472097439029</v>
      </c>
    </row>
    <row r="19" spans="1:21" x14ac:dyDescent="0.25">
      <c r="C19">
        <v>119.52961872523021</v>
      </c>
      <c r="D19">
        <v>119.62921363048135</v>
      </c>
      <c r="E19">
        <v>119.728891520563</v>
      </c>
      <c r="F19">
        <v>119.82865246462009</v>
      </c>
      <c r="G19">
        <v>119.92849653185516</v>
      </c>
      <c r="H19">
        <v>120.02842379152843</v>
      </c>
      <c r="I19">
        <v>120.12843431295776</v>
      </c>
      <c r="J19">
        <v>120.22852816551885</v>
      </c>
      <c r="K19">
        <v>120.32870541864516</v>
      </c>
      <c r="L19">
        <v>120.42896614182801</v>
      </c>
      <c r="M19">
        <v>120.52931040461665</v>
      </c>
      <c r="N19">
        <v>120.62973827661821</v>
      </c>
      <c r="O19">
        <v>120.73024982749787</v>
      </c>
      <c r="P19">
        <v>120.83084512697889</v>
      </c>
      <c r="Q19">
        <v>120.93152424484255</v>
      </c>
      <c r="R19">
        <v>121.03228725092833</v>
      </c>
      <c r="S19">
        <v>121.13313421513384</v>
      </c>
      <c r="T19">
        <v>121.23406520741506</v>
      </c>
      <c r="U19">
        <v>121.33508029778608</v>
      </c>
    </row>
    <row r="20" spans="1:21" x14ac:dyDescent="0.25">
      <c r="B20">
        <v>109.32960199563072</v>
      </c>
      <c r="C20">
        <v>109.42069800570778</v>
      </c>
      <c r="D20">
        <v>109.51186991913488</v>
      </c>
      <c r="E20">
        <v>109.60311779915651</v>
      </c>
      <c r="F20">
        <v>109.69444170906982</v>
      </c>
      <c r="G20">
        <v>109.78584171222474</v>
      </c>
      <c r="H20">
        <v>109.87731787202392</v>
      </c>
      <c r="I20">
        <v>109.96887025192291</v>
      </c>
      <c r="J20">
        <v>110.06049891543007</v>
      </c>
      <c r="K20">
        <v>110.15220392610675</v>
      </c>
      <c r="L20">
        <v>110.24398534756719</v>
      </c>
      <c r="M20">
        <v>110.33584324347865</v>
      </c>
      <c r="N20">
        <v>110.42777767756145</v>
      </c>
      <c r="O20">
        <v>110.51978871358904</v>
      </c>
      <c r="P20">
        <v>110.61187641538794</v>
      </c>
      <c r="Q20">
        <v>110.7040408468379</v>
      </c>
      <c r="R20">
        <v>110.79628207187186</v>
      </c>
      <c r="S20">
        <v>110.88860015447608</v>
      </c>
      <c r="T20">
        <v>110.98099515869009</v>
      </c>
      <c r="U20">
        <v>111.0734671486068</v>
      </c>
    </row>
    <row r="21" spans="1:21" x14ac:dyDescent="0.25">
      <c r="A21">
        <v>100</v>
      </c>
      <c r="B21">
        <v>100.08332236504501</v>
      </c>
      <c r="C21">
        <v>100.16671415625518</v>
      </c>
      <c r="D21">
        <v>100.25017543147804</v>
      </c>
      <c r="E21">
        <v>100.33370624860932</v>
      </c>
      <c r="F21">
        <v>100.41730666559296</v>
      </c>
      <c r="G21">
        <v>100.50097674042122</v>
      </c>
      <c r="H21">
        <v>100.58471653113467</v>
      </c>
      <c r="I21">
        <v>100.66852609582223</v>
      </c>
      <c r="J21">
        <v>100.75240549262121</v>
      </c>
      <c r="K21">
        <v>100.8363547797174</v>
      </c>
      <c r="L21">
        <v>100.92037401534503</v>
      </c>
      <c r="M21">
        <v>101.00446325778688</v>
      </c>
      <c r="N21">
        <v>101.08862256537428</v>
      </c>
      <c r="O21">
        <v>101.17285199648717</v>
      </c>
      <c r="P21">
        <v>101.25715160955411</v>
      </c>
      <c r="Q21">
        <v>101.3415214630524</v>
      </c>
      <c r="R21">
        <v>101.425961615508</v>
      </c>
      <c r="S21">
        <v>101.51047212549568</v>
      </c>
      <c r="T21">
        <v>101.595053051639</v>
      </c>
      <c r="U21">
        <v>101.67970445261035</v>
      </c>
    </row>
    <row r="22" spans="1:21" x14ac:dyDescent="0.25">
      <c r="B22">
        <v>91.619023876313278</v>
      </c>
      <c r="C22">
        <v>91.695363013838161</v>
      </c>
      <c r="D22">
        <v>91.771765758937903</v>
      </c>
      <c r="E22">
        <v>91.848232164611815</v>
      </c>
      <c r="F22">
        <v>91.924762283903391</v>
      </c>
      <c r="G22">
        <v>92.001356169900333</v>
      </c>
      <c r="H22">
        <v>92.07801387573457</v>
      </c>
      <c r="I22">
        <v>92.154735454582294</v>
      </c>
      <c r="J22">
        <v>92.23152095966401</v>
      </c>
      <c r="K22">
        <v>92.308370444244588</v>
      </c>
      <c r="L22">
        <v>92.385283961633249</v>
      </c>
      <c r="M22">
        <v>92.462261565183624</v>
      </c>
      <c r="N22">
        <v>92.539303308293825</v>
      </c>
      <c r="O22">
        <v>92.616409244406469</v>
      </c>
      <c r="P22">
        <v>92.693579427008657</v>
      </c>
      <c r="Q22">
        <v>92.77081390963211</v>
      </c>
      <c r="R22">
        <v>92.848112745853115</v>
      </c>
      <c r="S22">
        <v>92.925475989292607</v>
      </c>
      <c r="T22">
        <v>93.002903693616219</v>
      </c>
      <c r="U22">
        <v>93.080395912534271</v>
      </c>
    </row>
    <row r="23" spans="1:21" x14ac:dyDescent="0.25">
      <c r="C23">
        <v>83.940455360484606</v>
      </c>
      <c r="D23">
        <v>84.010396533120513</v>
      </c>
      <c r="E23">
        <v>84.080395982395601</v>
      </c>
      <c r="F23">
        <v>84.150453756867336</v>
      </c>
      <c r="G23">
        <v>84.220569905133658</v>
      </c>
      <c r="H23">
        <v>84.290744475832994</v>
      </c>
      <c r="I23">
        <v>84.360977517644301</v>
      </c>
      <c r="J23">
        <v>84.431269079287077</v>
      </c>
      <c r="K23">
        <v>84.501619209521436</v>
      </c>
      <c r="L23">
        <v>84.572027957148151</v>
      </c>
      <c r="M23">
        <v>84.642495371008579</v>
      </c>
      <c r="N23">
        <v>84.713021499984805</v>
      </c>
      <c r="O23">
        <v>84.783606392999673</v>
      </c>
      <c r="P23">
        <v>84.854250099016781</v>
      </c>
      <c r="Q23">
        <v>84.924952667040472</v>
      </c>
      <c r="R23">
        <v>84.995714146116001</v>
      </c>
      <c r="S23">
        <v>85.066534585329421</v>
      </c>
      <c r="T23">
        <v>85.137414033807758</v>
      </c>
      <c r="U23">
        <v>85.208352540718877</v>
      </c>
    </row>
    <row r="24" spans="1:21" x14ac:dyDescent="0.25">
      <c r="D24">
        <v>76.905425838608465</v>
      </c>
      <c r="E24">
        <v>76.969505258265144</v>
      </c>
      <c r="F24">
        <v>77.033638070409765</v>
      </c>
      <c r="G24">
        <v>77.097824319530233</v>
      </c>
      <c r="H24">
        <v>77.162064050151514</v>
      </c>
      <c r="I24">
        <v>77.226357306835638</v>
      </c>
      <c r="J24">
        <v>77.290704134181809</v>
      </c>
      <c r="K24">
        <v>77.355104576826335</v>
      </c>
      <c r="L24">
        <v>77.419558679442773</v>
      </c>
      <c r="M24">
        <v>77.484066486741895</v>
      </c>
      <c r="N24">
        <v>77.548628043471695</v>
      </c>
      <c r="O24">
        <v>77.613243394417466</v>
      </c>
      <c r="P24">
        <v>77.677912584401838</v>
      </c>
      <c r="Q24">
        <v>77.742635658284769</v>
      </c>
      <c r="R24">
        <v>77.80741266096355</v>
      </c>
      <c r="S24">
        <v>77.872243637372989</v>
      </c>
      <c r="T24">
        <v>77.937128632485241</v>
      </c>
      <c r="U24">
        <v>78.002067691310003</v>
      </c>
    </row>
    <row r="25" spans="1:21" x14ac:dyDescent="0.25">
      <c r="E25">
        <v>70.460000461255092</v>
      </c>
      <c r="F25">
        <v>70.518709400050142</v>
      </c>
      <c r="G25">
        <v>70.577467256521459</v>
      </c>
      <c r="H25">
        <v>70.63627407142846</v>
      </c>
      <c r="I25">
        <v>70.695129885564455</v>
      </c>
      <c r="J25">
        <v>70.754034739756733</v>
      </c>
      <c r="K25">
        <v>70.812988674866688</v>
      </c>
      <c r="L25">
        <v>70.87199173178962</v>
      </c>
      <c r="M25">
        <v>70.931043951455024</v>
      </c>
      <c r="N25">
        <v>70.990145374826511</v>
      </c>
      <c r="O25">
        <v>71.049296042901702</v>
      </c>
      <c r="P25">
        <v>71.108495996712463</v>
      </c>
      <c r="Q25">
        <v>71.167745277324869</v>
      </c>
      <c r="R25">
        <v>71.227043925839155</v>
      </c>
      <c r="S25">
        <v>71.286391983389791</v>
      </c>
      <c r="T25">
        <v>71.345789491145595</v>
      </c>
      <c r="U25">
        <v>71.405236490309633</v>
      </c>
    </row>
    <row r="26" spans="1:21" x14ac:dyDescent="0.25">
      <c r="G26">
        <v>64.608553202499905</v>
      </c>
      <c r="H26">
        <v>64.662386577049574</v>
      </c>
      <c r="I26">
        <v>64.716264806840115</v>
      </c>
      <c r="J26">
        <v>64.770187929245978</v>
      </c>
      <c r="K26">
        <v>64.824155981672703</v>
      </c>
      <c r="L26">
        <v>64.878169001557126</v>
      </c>
      <c r="M26">
        <v>64.932227026367102</v>
      </c>
      <c r="N26">
        <v>64.986330093601836</v>
      </c>
      <c r="O26">
        <v>65.040478240791799</v>
      </c>
      <c r="P26">
        <v>65.09467150549861</v>
      </c>
      <c r="Q26">
        <v>65.148909925315252</v>
      </c>
      <c r="R26">
        <v>65.203193537866085</v>
      </c>
      <c r="S26">
        <v>65.257522380806719</v>
      </c>
      <c r="T26">
        <v>65.311896491824157</v>
      </c>
      <c r="U26">
        <v>65.366315908636892</v>
      </c>
    </row>
    <row r="27" spans="1:21" x14ac:dyDescent="0.25">
      <c r="I27">
        <v>59.243047397021037</v>
      </c>
      <c r="J27">
        <v>59.292410105236968</v>
      </c>
      <c r="K27">
        <v>59.341813943628843</v>
      </c>
      <c r="L27">
        <v>59.391258946467275</v>
      </c>
      <c r="M27">
        <v>59.440745148051498</v>
      </c>
      <c r="N27">
        <v>59.490272582709217</v>
      </c>
      <c r="O27">
        <v>59.539841284796815</v>
      </c>
      <c r="P27">
        <v>59.589451288699379</v>
      </c>
      <c r="Q27">
        <v>59.639102628830457</v>
      </c>
      <c r="R27">
        <v>59.688795339632399</v>
      </c>
      <c r="S27">
        <v>59.738529455576277</v>
      </c>
      <c r="T27">
        <v>59.788305011161789</v>
      </c>
      <c r="U27">
        <v>59.838122040917384</v>
      </c>
    </row>
    <row r="28" spans="1:21" x14ac:dyDescent="0.25">
      <c r="L28">
        <v>54.368390685650709</v>
      </c>
      <c r="M28">
        <v>54.413691714606891</v>
      </c>
      <c r="N28">
        <v>54.45903048945182</v>
      </c>
      <c r="O28">
        <v>54.504407041636206</v>
      </c>
      <c r="P28">
        <v>54.549821402637022</v>
      </c>
      <c r="Q28">
        <v>54.595273603957551</v>
      </c>
      <c r="R28">
        <v>54.640763677127147</v>
      </c>
      <c r="S28">
        <v>54.686291653701574</v>
      </c>
      <c r="T28">
        <v>54.731857565262864</v>
      </c>
      <c r="U28">
        <v>54.777461443419327</v>
      </c>
    </row>
    <row r="29" spans="1:21" x14ac:dyDescent="0.25">
      <c r="O29">
        <v>49.894832146939585</v>
      </c>
      <c r="P29">
        <v>49.936405701119646</v>
      </c>
      <c r="Q29">
        <v>49.978013895368257</v>
      </c>
      <c r="R29">
        <v>50.019656758548429</v>
      </c>
      <c r="S29">
        <v>50.061334319547029</v>
      </c>
      <c r="T29">
        <v>50.103046607275154</v>
      </c>
      <c r="U29">
        <v>50.144793650667957</v>
      </c>
    </row>
    <row r="30" spans="1:21" x14ac:dyDescent="0.25">
      <c r="S30">
        <v>45.82752126846443</v>
      </c>
      <c r="T30">
        <v>45.865705843026802</v>
      </c>
      <c r="U30">
        <v>45.90392223387979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43C52-3832-40B0-8470-3113949F1CA4}">
  <sheetPr codeName="Feuil5"/>
  <dimension ref="A1:B203"/>
  <sheetViews>
    <sheetView workbookViewId="0">
      <selection activeCell="H23" sqref="H23"/>
    </sheetView>
  </sheetViews>
  <sheetFormatPr baseColWidth="10" defaultRowHeight="15" x14ac:dyDescent="0.25"/>
  <sheetData>
    <row r="1" spans="1:2" x14ac:dyDescent="0.25">
      <c r="A1" t="s">
        <v>47</v>
      </c>
      <c r="B1" t="s">
        <v>25</v>
      </c>
    </row>
    <row r="2" spans="1:2" x14ac:dyDescent="0.25">
      <c r="A2">
        <v>1</v>
      </c>
      <c r="B2">
        <v>0</v>
      </c>
    </row>
    <row r="3" spans="1:2" x14ac:dyDescent="0.25">
      <c r="A3">
        <v>2</v>
      </c>
      <c r="B3">
        <v>0</v>
      </c>
    </row>
    <row r="4" spans="1:2" x14ac:dyDescent="0.25">
      <c r="A4">
        <v>3</v>
      </c>
      <c r="B4">
        <v>0</v>
      </c>
    </row>
    <row r="5" spans="1:2" x14ac:dyDescent="0.25">
      <c r="A5">
        <v>4</v>
      </c>
      <c r="B5">
        <v>0</v>
      </c>
    </row>
    <row r="6" spans="1:2" x14ac:dyDescent="0.25">
      <c r="A6">
        <v>5</v>
      </c>
      <c r="B6">
        <v>0</v>
      </c>
    </row>
    <row r="7" spans="1:2" x14ac:dyDescent="0.25">
      <c r="A7">
        <v>6</v>
      </c>
      <c r="B7">
        <v>0</v>
      </c>
    </row>
    <row r="8" spans="1:2" x14ac:dyDescent="0.25">
      <c r="A8">
        <v>7</v>
      </c>
      <c r="B8">
        <v>0</v>
      </c>
    </row>
    <row r="9" spans="1:2" x14ac:dyDescent="0.25">
      <c r="A9">
        <v>8</v>
      </c>
      <c r="B9">
        <v>0</v>
      </c>
    </row>
    <row r="10" spans="1:2" x14ac:dyDescent="0.25">
      <c r="A10">
        <v>9</v>
      </c>
      <c r="B10">
        <v>0</v>
      </c>
    </row>
    <row r="11" spans="1:2" x14ac:dyDescent="0.25">
      <c r="A11">
        <v>10</v>
      </c>
      <c r="B11">
        <v>0</v>
      </c>
    </row>
    <row r="12" spans="1:2" x14ac:dyDescent="0.25">
      <c r="A12">
        <v>11</v>
      </c>
      <c r="B12">
        <v>0</v>
      </c>
    </row>
    <row r="13" spans="1:2" x14ac:dyDescent="0.25">
      <c r="A13">
        <v>12</v>
      </c>
      <c r="B13">
        <v>0</v>
      </c>
    </row>
    <row r="14" spans="1:2" x14ac:dyDescent="0.25">
      <c r="A14">
        <v>13</v>
      </c>
      <c r="B14">
        <v>0</v>
      </c>
    </row>
    <row r="15" spans="1:2" x14ac:dyDescent="0.25">
      <c r="A15">
        <v>14</v>
      </c>
      <c r="B15">
        <v>0</v>
      </c>
    </row>
    <row r="16" spans="1:2" x14ac:dyDescent="0.25">
      <c r="A16">
        <v>15</v>
      </c>
      <c r="B16">
        <v>0</v>
      </c>
    </row>
    <row r="17" spans="1:2" x14ac:dyDescent="0.25">
      <c r="A17">
        <v>16</v>
      </c>
      <c r="B17">
        <v>0</v>
      </c>
    </row>
    <row r="18" spans="1:2" x14ac:dyDescent="0.25">
      <c r="A18">
        <v>17</v>
      </c>
      <c r="B18">
        <v>0</v>
      </c>
    </row>
    <row r="19" spans="1:2" x14ac:dyDescent="0.25">
      <c r="A19">
        <v>18</v>
      </c>
      <c r="B19">
        <v>0</v>
      </c>
    </row>
    <row r="20" spans="1:2" x14ac:dyDescent="0.25">
      <c r="A20">
        <v>19</v>
      </c>
      <c r="B20">
        <v>0</v>
      </c>
    </row>
    <row r="21" spans="1:2" x14ac:dyDescent="0.25">
      <c r="A21">
        <v>20</v>
      </c>
      <c r="B21">
        <v>0</v>
      </c>
    </row>
    <row r="22" spans="1:2" x14ac:dyDescent="0.25">
      <c r="A22">
        <v>21</v>
      </c>
      <c r="B22">
        <v>0</v>
      </c>
    </row>
    <row r="23" spans="1:2" x14ac:dyDescent="0.25">
      <c r="A23">
        <v>22</v>
      </c>
      <c r="B23">
        <v>0</v>
      </c>
    </row>
    <row r="24" spans="1:2" x14ac:dyDescent="0.25">
      <c r="A24">
        <v>23</v>
      </c>
      <c r="B24">
        <v>0</v>
      </c>
    </row>
    <row r="25" spans="1:2" x14ac:dyDescent="0.25">
      <c r="A25">
        <v>24</v>
      </c>
      <c r="B25">
        <v>0</v>
      </c>
    </row>
    <row r="26" spans="1:2" x14ac:dyDescent="0.25">
      <c r="A26">
        <v>25</v>
      </c>
      <c r="B26">
        <v>0</v>
      </c>
    </row>
    <row r="27" spans="1:2" x14ac:dyDescent="0.25">
      <c r="A27">
        <v>26</v>
      </c>
      <c r="B27">
        <v>0</v>
      </c>
    </row>
    <row r="28" spans="1:2" x14ac:dyDescent="0.25">
      <c r="A28">
        <v>27</v>
      </c>
      <c r="B28">
        <v>0</v>
      </c>
    </row>
    <row r="29" spans="1:2" x14ac:dyDescent="0.25">
      <c r="A29">
        <v>28</v>
      </c>
      <c r="B29">
        <v>0</v>
      </c>
    </row>
    <row r="30" spans="1:2" x14ac:dyDescent="0.25">
      <c r="A30">
        <v>29</v>
      </c>
      <c r="B30">
        <v>0</v>
      </c>
    </row>
    <row r="31" spans="1:2" x14ac:dyDescent="0.25">
      <c r="A31">
        <v>30</v>
      </c>
      <c r="B31">
        <v>0</v>
      </c>
    </row>
    <row r="32" spans="1:2" x14ac:dyDescent="0.25">
      <c r="A32">
        <v>31</v>
      </c>
      <c r="B32">
        <v>0</v>
      </c>
    </row>
    <row r="33" spans="1:2" x14ac:dyDescent="0.25">
      <c r="A33">
        <v>32</v>
      </c>
      <c r="B33">
        <v>0</v>
      </c>
    </row>
    <row r="34" spans="1:2" x14ac:dyDescent="0.25">
      <c r="A34">
        <v>33</v>
      </c>
      <c r="B34">
        <v>0</v>
      </c>
    </row>
    <row r="35" spans="1:2" x14ac:dyDescent="0.25">
      <c r="A35">
        <v>34</v>
      </c>
      <c r="B35">
        <v>0</v>
      </c>
    </row>
    <row r="36" spans="1:2" x14ac:dyDescent="0.25">
      <c r="A36">
        <v>35</v>
      </c>
      <c r="B36">
        <v>0</v>
      </c>
    </row>
    <row r="37" spans="1:2" x14ac:dyDescent="0.25">
      <c r="A37">
        <v>36</v>
      </c>
      <c r="B37">
        <v>0</v>
      </c>
    </row>
    <row r="38" spans="1:2" x14ac:dyDescent="0.25">
      <c r="A38">
        <v>37</v>
      </c>
      <c r="B38">
        <v>0</v>
      </c>
    </row>
    <row r="39" spans="1:2" x14ac:dyDescent="0.25">
      <c r="A39">
        <v>38</v>
      </c>
      <c r="B39">
        <v>0</v>
      </c>
    </row>
    <row r="40" spans="1:2" x14ac:dyDescent="0.25">
      <c r="A40">
        <v>39</v>
      </c>
      <c r="B40">
        <v>0</v>
      </c>
    </row>
    <row r="41" spans="1:2" x14ac:dyDescent="0.25">
      <c r="A41">
        <v>40</v>
      </c>
      <c r="B41">
        <v>0</v>
      </c>
    </row>
    <row r="42" spans="1:2" x14ac:dyDescent="0.25">
      <c r="A42">
        <v>41</v>
      </c>
      <c r="B42">
        <v>0</v>
      </c>
    </row>
    <row r="43" spans="1:2" x14ac:dyDescent="0.25">
      <c r="A43">
        <v>42</v>
      </c>
      <c r="B43">
        <v>0</v>
      </c>
    </row>
    <row r="44" spans="1:2" x14ac:dyDescent="0.25">
      <c r="A44">
        <v>43</v>
      </c>
      <c r="B44">
        <v>0</v>
      </c>
    </row>
    <row r="45" spans="1:2" x14ac:dyDescent="0.25">
      <c r="A45">
        <v>44</v>
      </c>
      <c r="B45">
        <v>0</v>
      </c>
    </row>
    <row r="46" spans="1:2" x14ac:dyDescent="0.25">
      <c r="A46">
        <v>45</v>
      </c>
      <c r="B46">
        <v>0</v>
      </c>
    </row>
    <row r="47" spans="1:2" x14ac:dyDescent="0.25">
      <c r="A47">
        <v>46</v>
      </c>
      <c r="B47">
        <v>0</v>
      </c>
    </row>
    <row r="48" spans="1:2" x14ac:dyDescent="0.25">
      <c r="A48">
        <v>47</v>
      </c>
      <c r="B48">
        <v>0</v>
      </c>
    </row>
    <row r="49" spans="1:2" x14ac:dyDescent="0.25">
      <c r="A49">
        <v>48</v>
      </c>
      <c r="B49">
        <v>0</v>
      </c>
    </row>
    <row r="50" spans="1:2" x14ac:dyDescent="0.25">
      <c r="A50">
        <v>49</v>
      </c>
      <c r="B50">
        <v>6.9999999999999994E-5</v>
      </c>
    </row>
    <row r="51" spans="1:2" x14ac:dyDescent="0.25">
      <c r="A51">
        <v>50</v>
      </c>
      <c r="B51">
        <v>3.68E-4</v>
      </c>
    </row>
    <row r="52" spans="1:2" x14ac:dyDescent="0.25">
      <c r="A52">
        <v>51</v>
      </c>
      <c r="B52">
        <v>2.552E-3</v>
      </c>
    </row>
    <row r="53" spans="1:2" x14ac:dyDescent="0.25">
      <c r="A53">
        <v>52</v>
      </c>
      <c r="B53">
        <v>3.3310000000000002E-3</v>
      </c>
    </row>
    <row r="54" spans="1:2" x14ac:dyDescent="0.25">
      <c r="A54">
        <v>53</v>
      </c>
      <c r="B54">
        <v>3.9769999999999996E-3</v>
      </c>
    </row>
    <row r="55" spans="1:2" x14ac:dyDescent="0.25">
      <c r="A55">
        <v>54</v>
      </c>
      <c r="B55">
        <v>6.476E-3</v>
      </c>
    </row>
    <row r="56" spans="1:2" x14ac:dyDescent="0.25">
      <c r="A56">
        <v>55</v>
      </c>
      <c r="B56">
        <v>7.6819999999999996E-3</v>
      </c>
    </row>
    <row r="57" spans="1:2" x14ac:dyDescent="0.25">
      <c r="A57">
        <v>56</v>
      </c>
      <c r="B57">
        <v>8.6040000000000005E-3</v>
      </c>
    </row>
    <row r="58" spans="1:2" x14ac:dyDescent="0.25">
      <c r="A58">
        <v>57</v>
      </c>
      <c r="B58">
        <v>1.1782000000000001E-2</v>
      </c>
    </row>
    <row r="59" spans="1:2" x14ac:dyDescent="0.25">
      <c r="A59">
        <v>58</v>
      </c>
      <c r="B59">
        <v>1.2988E-2</v>
      </c>
    </row>
    <row r="60" spans="1:2" x14ac:dyDescent="0.25">
      <c r="A60">
        <v>59</v>
      </c>
      <c r="B60">
        <v>1.5976000000000001E-2</v>
      </c>
    </row>
    <row r="61" spans="1:2" x14ac:dyDescent="0.25">
      <c r="A61">
        <v>60</v>
      </c>
      <c r="B61">
        <v>2.0820999999999999E-2</v>
      </c>
    </row>
    <row r="62" spans="1:2" x14ac:dyDescent="0.25">
      <c r="A62">
        <v>61</v>
      </c>
      <c r="B62">
        <v>2.1446E-2</v>
      </c>
    </row>
    <row r="63" spans="1:2" x14ac:dyDescent="0.25">
      <c r="A63">
        <v>62</v>
      </c>
      <c r="B63">
        <v>2.8466000000000002E-2</v>
      </c>
    </row>
    <row r="64" spans="1:2" x14ac:dyDescent="0.25">
      <c r="A64">
        <v>63</v>
      </c>
      <c r="B64">
        <v>0.03</v>
      </c>
    </row>
    <row r="65" spans="1:2" x14ac:dyDescent="0.25">
      <c r="A65">
        <v>64</v>
      </c>
      <c r="B65">
        <v>3.7339999999999998E-2</v>
      </c>
    </row>
    <row r="66" spans="1:2" x14ac:dyDescent="0.25">
      <c r="A66">
        <v>65</v>
      </c>
      <c r="B66">
        <v>4.2930000000000003E-2</v>
      </c>
    </row>
    <row r="67" spans="1:2" x14ac:dyDescent="0.25">
      <c r="A67">
        <v>66</v>
      </c>
      <c r="B67">
        <v>4.8388E-2</v>
      </c>
    </row>
    <row r="68" spans="1:2" x14ac:dyDescent="0.25">
      <c r="A68">
        <v>67</v>
      </c>
      <c r="B68">
        <v>5.8457000000000002E-2</v>
      </c>
    </row>
    <row r="69" spans="1:2" x14ac:dyDescent="0.25">
      <c r="A69">
        <v>68</v>
      </c>
      <c r="B69">
        <v>6.1938E-2</v>
      </c>
    </row>
    <row r="70" spans="1:2" x14ac:dyDescent="0.25">
      <c r="A70">
        <v>69</v>
      </c>
      <c r="B70">
        <v>7.6510999999999996E-2</v>
      </c>
    </row>
    <row r="71" spans="1:2" x14ac:dyDescent="0.25">
      <c r="A71">
        <v>70</v>
      </c>
      <c r="B71">
        <v>7.8303999999999999E-2</v>
      </c>
    </row>
    <row r="72" spans="1:2" x14ac:dyDescent="0.25">
      <c r="A72">
        <v>71</v>
      </c>
      <c r="B72">
        <v>9.6873000000000001E-2</v>
      </c>
    </row>
    <row r="73" spans="1:2" x14ac:dyDescent="0.25">
      <c r="A73">
        <v>72</v>
      </c>
      <c r="B73">
        <v>9.7778000000000004E-2</v>
      </c>
    </row>
    <row r="74" spans="1:2" x14ac:dyDescent="0.25">
      <c r="A74">
        <v>73</v>
      </c>
      <c r="B74">
        <v>0.119168</v>
      </c>
    </row>
    <row r="75" spans="1:2" x14ac:dyDescent="0.25">
      <c r="A75">
        <v>74</v>
      </c>
      <c r="B75">
        <v>0.120603</v>
      </c>
    </row>
    <row r="76" spans="1:2" x14ac:dyDescent="0.25">
      <c r="A76">
        <v>75</v>
      </c>
      <c r="B76">
        <v>0.14288500000000001</v>
      </c>
    </row>
    <row r="77" spans="1:2" x14ac:dyDescent="0.25">
      <c r="A77">
        <v>76</v>
      </c>
      <c r="B77">
        <v>0.146954</v>
      </c>
    </row>
    <row r="78" spans="1:2" x14ac:dyDescent="0.25">
      <c r="A78">
        <v>77</v>
      </c>
      <c r="B78">
        <v>0.167411</v>
      </c>
    </row>
    <row r="79" spans="1:2" x14ac:dyDescent="0.25">
      <c r="A79">
        <v>78</v>
      </c>
      <c r="B79">
        <v>0.176923</v>
      </c>
    </row>
    <row r="80" spans="1:2" x14ac:dyDescent="0.25">
      <c r="A80">
        <v>79</v>
      </c>
      <c r="B80">
        <v>0.192084</v>
      </c>
    </row>
    <row r="81" spans="1:2" x14ac:dyDescent="0.25">
      <c r="A81">
        <v>80</v>
      </c>
      <c r="B81">
        <v>0.21049899999999999</v>
      </c>
    </row>
    <row r="82" spans="1:2" x14ac:dyDescent="0.25">
      <c r="A82">
        <v>81</v>
      </c>
      <c r="B82">
        <v>0.216254</v>
      </c>
    </row>
    <row r="83" spans="1:2" x14ac:dyDescent="0.25">
      <c r="A83">
        <v>82</v>
      </c>
      <c r="B83">
        <v>0.247554</v>
      </c>
    </row>
    <row r="84" spans="1:2" x14ac:dyDescent="0.25">
      <c r="A84">
        <v>83</v>
      </c>
      <c r="B84">
        <v>0.247554</v>
      </c>
    </row>
    <row r="85" spans="1:2" x14ac:dyDescent="0.25">
      <c r="A85">
        <v>84</v>
      </c>
      <c r="B85">
        <v>0.28783900000000001</v>
      </c>
    </row>
    <row r="86" spans="1:2" x14ac:dyDescent="0.25">
      <c r="A86">
        <v>85</v>
      </c>
      <c r="B86">
        <v>0.28783900000000001</v>
      </c>
    </row>
    <row r="87" spans="1:2" x14ac:dyDescent="0.25">
      <c r="A87">
        <v>86</v>
      </c>
      <c r="B87">
        <v>0.31195899999999999</v>
      </c>
    </row>
    <row r="88" spans="1:2" x14ac:dyDescent="0.25">
      <c r="A88">
        <v>87</v>
      </c>
      <c r="B88">
        <v>0.33098300000000003</v>
      </c>
    </row>
    <row r="89" spans="1:2" x14ac:dyDescent="0.25">
      <c r="A89">
        <v>88</v>
      </c>
      <c r="B89">
        <v>0.333727</v>
      </c>
    </row>
    <row r="90" spans="1:2" x14ac:dyDescent="0.25">
      <c r="A90">
        <v>89</v>
      </c>
      <c r="B90">
        <v>0.376502</v>
      </c>
    </row>
    <row r="91" spans="1:2" x14ac:dyDescent="0.25">
      <c r="A91">
        <v>90</v>
      </c>
      <c r="B91">
        <v>0.376502</v>
      </c>
    </row>
    <row r="92" spans="1:2" x14ac:dyDescent="0.25">
      <c r="A92">
        <v>91</v>
      </c>
      <c r="B92">
        <v>0.40592200000000001</v>
      </c>
    </row>
    <row r="93" spans="1:2" x14ac:dyDescent="0.25">
      <c r="A93">
        <v>92</v>
      </c>
      <c r="B93">
        <v>0.42381000000000002</v>
      </c>
    </row>
    <row r="94" spans="1:2" x14ac:dyDescent="0.25">
      <c r="A94">
        <v>93</v>
      </c>
      <c r="B94">
        <v>0.42381000000000002</v>
      </c>
    </row>
    <row r="95" spans="1:2" x14ac:dyDescent="0.25">
      <c r="A95">
        <v>94</v>
      </c>
      <c r="B95">
        <v>0.472244</v>
      </c>
    </row>
    <row r="96" spans="1:2" x14ac:dyDescent="0.25">
      <c r="A96">
        <v>95</v>
      </c>
      <c r="B96">
        <v>0.472244</v>
      </c>
    </row>
    <row r="97" spans="1:2" x14ac:dyDescent="0.25">
      <c r="A97">
        <v>96</v>
      </c>
      <c r="B97">
        <v>0.49085299999999998</v>
      </c>
    </row>
    <row r="98" spans="1:2" x14ac:dyDescent="0.25">
      <c r="A98">
        <v>97</v>
      </c>
      <c r="B98">
        <v>0.52109499999999997</v>
      </c>
    </row>
    <row r="99" spans="1:2" x14ac:dyDescent="0.25">
      <c r="A99">
        <v>98</v>
      </c>
      <c r="B99">
        <v>0.52109499999999997</v>
      </c>
    </row>
    <row r="100" spans="1:2" x14ac:dyDescent="0.25">
      <c r="A100">
        <v>99</v>
      </c>
      <c r="B100">
        <v>0.55337700000000001</v>
      </c>
    </row>
    <row r="101" spans="1:2" x14ac:dyDescent="0.25">
      <c r="A101">
        <v>100</v>
      </c>
      <c r="B101">
        <v>0.569631</v>
      </c>
    </row>
    <row r="102" spans="1:2" x14ac:dyDescent="0.25">
      <c r="A102">
        <v>101</v>
      </c>
      <c r="B102">
        <v>0.569631</v>
      </c>
    </row>
    <row r="103" spans="1:2" x14ac:dyDescent="0.25">
      <c r="A103">
        <v>102</v>
      </c>
      <c r="B103">
        <v>0.61032200000000003</v>
      </c>
    </row>
    <row r="104" spans="1:2" x14ac:dyDescent="0.25">
      <c r="A104">
        <v>103</v>
      </c>
      <c r="B104">
        <v>0.61713600000000002</v>
      </c>
    </row>
    <row r="105" spans="1:2" x14ac:dyDescent="0.25">
      <c r="A105">
        <v>104</v>
      </c>
      <c r="B105">
        <v>0.61713600000000002</v>
      </c>
    </row>
    <row r="106" spans="1:2" x14ac:dyDescent="0.25">
      <c r="A106">
        <v>105</v>
      </c>
      <c r="B106">
        <v>0.66115699999999999</v>
      </c>
    </row>
    <row r="107" spans="1:2" x14ac:dyDescent="0.25">
      <c r="A107">
        <v>106</v>
      </c>
      <c r="B107">
        <v>0.66293999999999997</v>
      </c>
    </row>
    <row r="108" spans="1:2" x14ac:dyDescent="0.25">
      <c r="A108">
        <v>107</v>
      </c>
      <c r="B108">
        <v>0.66507700000000003</v>
      </c>
    </row>
    <row r="109" spans="1:2" x14ac:dyDescent="0.25">
      <c r="A109">
        <v>108</v>
      </c>
      <c r="B109">
        <v>0.70574400000000004</v>
      </c>
    </row>
    <row r="110" spans="1:2" x14ac:dyDescent="0.25">
      <c r="A110">
        <v>109</v>
      </c>
      <c r="B110">
        <v>0.70644499999999999</v>
      </c>
    </row>
    <row r="111" spans="1:2" x14ac:dyDescent="0.25">
      <c r="A111">
        <v>110</v>
      </c>
      <c r="B111">
        <v>0.70724699999999996</v>
      </c>
    </row>
    <row r="112" spans="1:2" x14ac:dyDescent="0.25">
      <c r="A112">
        <v>111</v>
      </c>
      <c r="B112">
        <v>0.74428000000000005</v>
      </c>
    </row>
    <row r="113" spans="1:2" x14ac:dyDescent="0.25">
      <c r="A113">
        <v>112</v>
      </c>
      <c r="B113">
        <v>0.74715299999999996</v>
      </c>
    </row>
    <row r="114" spans="1:2" x14ac:dyDescent="0.25">
      <c r="A114">
        <v>113</v>
      </c>
      <c r="B114">
        <v>0.74715299999999996</v>
      </c>
    </row>
    <row r="115" spans="1:2" x14ac:dyDescent="0.25">
      <c r="A115">
        <v>114</v>
      </c>
      <c r="B115">
        <v>0.77723699999999996</v>
      </c>
    </row>
    <row r="116" spans="1:2" x14ac:dyDescent="0.25">
      <c r="A116">
        <v>115</v>
      </c>
      <c r="B116">
        <v>0.78467600000000004</v>
      </c>
    </row>
    <row r="117" spans="1:2" x14ac:dyDescent="0.25">
      <c r="A117">
        <v>116</v>
      </c>
      <c r="B117">
        <v>0.78467600000000004</v>
      </c>
    </row>
    <row r="118" spans="1:2" x14ac:dyDescent="0.25">
      <c r="A118">
        <v>117</v>
      </c>
      <c r="B118">
        <v>0.80526799999999998</v>
      </c>
    </row>
    <row r="119" spans="1:2" x14ac:dyDescent="0.25">
      <c r="A119">
        <v>118</v>
      </c>
      <c r="B119">
        <v>0.818747</v>
      </c>
    </row>
    <row r="120" spans="1:2" x14ac:dyDescent="0.25">
      <c r="A120">
        <v>119</v>
      </c>
      <c r="B120">
        <v>0.818747</v>
      </c>
    </row>
    <row r="121" spans="1:2" x14ac:dyDescent="0.25">
      <c r="A121">
        <v>120</v>
      </c>
      <c r="B121">
        <v>0.82912399999999997</v>
      </c>
    </row>
    <row r="122" spans="1:2" x14ac:dyDescent="0.25">
      <c r="A122">
        <v>121</v>
      </c>
      <c r="B122">
        <v>0.84922399999999998</v>
      </c>
    </row>
    <row r="123" spans="1:2" x14ac:dyDescent="0.25">
      <c r="A123">
        <v>122</v>
      </c>
      <c r="B123">
        <v>0.84922399999999998</v>
      </c>
    </row>
    <row r="124" spans="1:2" x14ac:dyDescent="0.25">
      <c r="A124">
        <v>123</v>
      </c>
      <c r="B124">
        <v>0.84956600000000004</v>
      </c>
    </row>
    <row r="125" spans="1:2" x14ac:dyDescent="0.25">
      <c r="A125">
        <v>124</v>
      </c>
      <c r="B125">
        <v>0.87143800000000005</v>
      </c>
    </row>
    <row r="126" spans="1:2" x14ac:dyDescent="0.25">
      <c r="A126">
        <v>125</v>
      </c>
      <c r="B126">
        <v>0.87607999999999997</v>
      </c>
    </row>
    <row r="127" spans="1:2" x14ac:dyDescent="0.25">
      <c r="A127">
        <v>126</v>
      </c>
      <c r="B127">
        <v>0.87607999999999997</v>
      </c>
    </row>
    <row r="128" spans="1:2" x14ac:dyDescent="0.25">
      <c r="A128">
        <v>127</v>
      </c>
      <c r="B128">
        <v>0.88591399999999998</v>
      </c>
    </row>
    <row r="129" spans="1:2" x14ac:dyDescent="0.25">
      <c r="A129">
        <v>128</v>
      </c>
      <c r="B129">
        <v>0.89939199999999997</v>
      </c>
    </row>
    <row r="130" spans="1:2" x14ac:dyDescent="0.25">
      <c r="A130">
        <v>129</v>
      </c>
      <c r="B130">
        <v>0.89939199999999997</v>
      </c>
    </row>
    <row r="131" spans="1:2" x14ac:dyDescent="0.25">
      <c r="A131">
        <v>130</v>
      </c>
      <c r="B131">
        <v>0.89939199999999997</v>
      </c>
    </row>
    <row r="132" spans="1:2" x14ac:dyDescent="0.25">
      <c r="A132">
        <v>131</v>
      </c>
      <c r="B132">
        <v>0.91394200000000003</v>
      </c>
    </row>
    <row r="133" spans="1:2" x14ac:dyDescent="0.25">
      <c r="A133">
        <v>132</v>
      </c>
      <c r="B133">
        <v>0.91932700000000001</v>
      </c>
    </row>
    <row r="134" spans="1:2" x14ac:dyDescent="0.25">
      <c r="A134">
        <v>133</v>
      </c>
      <c r="B134">
        <v>0.91932700000000001</v>
      </c>
    </row>
    <row r="135" spans="1:2" x14ac:dyDescent="0.25">
      <c r="A135">
        <v>134</v>
      </c>
      <c r="B135">
        <v>0.92263499999999998</v>
      </c>
    </row>
    <row r="136" spans="1:2" x14ac:dyDescent="0.25">
      <c r="A136">
        <v>135</v>
      </c>
      <c r="B136">
        <v>0.93517399999999995</v>
      </c>
    </row>
    <row r="137" spans="1:2" x14ac:dyDescent="0.25">
      <c r="A137">
        <v>136</v>
      </c>
      <c r="B137">
        <v>0.93611999999999995</v>
      </c>
    </row>
    <row r="138" spans="1:2" x14ac:dyDescent="0.25">
      <c r="A138">
        <v>137</v>
      </c>
      <c r="B138">
        <v>0.93611999999999995</v>
      </c>
    </row>
    <row r="139" spans="1:2" x14ac:dyDescent="0.25">
      <c r="A139">
        <v>138</v>
      </c>
      <c r="B139">
        <v>0.94092900000000002</v>
      </c>
    </row>
    <row r="140" spans="1:2" x14ac:dyDescent="0.25">
      <c r="A140">
        <v>139</v>
      </c>
      <c r="B140">
        <v>0.95005600000000001</v>
      </c>
    </row>
    <row r="141" spans="1:2" x14ac:dyDescent="0.25">
      <c r="A141">
        <v>140</v>
      </c>
      <c r="B141">
        <v>0.95005600000000001</v>
      </c>
    </row>
    <row r="142" spans="1:2" x14ac:dyDescent="0.25">
      <c r="A142">
        <v>141</v>
      </c>
      <c r="B142">
        <v>0.95005600000000001</v>
      </c>
    </row>
    <row r="143" spans="1:2" x14ac:dyDescent="0.25">
      <c r="A143">
        <v>142</v>
      </c>
      <c r="B143">
        <v>0.95470900000000003</v>
      </c>
    </row>
    <row r="144" spans="1:2" x14ac:dyDescent="0.25">
      <c r="A144">
        <v>143</v>
      </c>
      <c r="B144">
        <v>0.96144799999999997</v>
      </c>
    </row>
    <row r="145" spans="1:2" x14ac:dyDescent="0.25">
      <c r="A145">
        <v>144</v>
      </c>
      <c r="B145">
        <v>0.96144799999999997</v>
      </c>
    </row>
    <row r="146" spans="1:2" x14ac:dyDescent="0.25">
      <c r="A146">
        <v>145</v>
      </c>
      <c r="B146">
        <v>0.96144799999999997</v>
      </c>
    </row>
    <row r="147" spans="1:2" x14ac:dyDescent="0.25">
      <c r="A147">
        <v>146</v>
      </c>
      <c r="B147">
        <v>0.96504400000000001</v>
      </c>
    </row>
    <row r="148" spans="1:2" x14ac:dyDescent="0.25">
      <c r="A148">
        <v>147</v>
      </c>
      <c r="B148">
        <v>0.97062099999999996</v>
      </c>
    </row>
    <row r="149" spans="1:2" x14ac:dyDescent="0.25">
      <c r="A149">
        <v>148</v>
      </c>
      <c r="B149">
        <v>0.97062099999999996</v>
      </c>
    </row>
    <row r="150" spans="1:2" x14ac:dyDescent="0.25">
      <c r="A150">
        <v>149</v>
      </c>
      <c r="B150">
        <v>0.97062099999999996</v>
      </c>
    </row>
    <row r="151" spans="1:2" x14ac:dyDescent="0.25">
      <c r="A151">
        <v>150</v>
      </c>
      <c r="B151">
        <v>0.97280500000000003</v>
      </c>
    </row>
    <row r="152" spans="1:2" x14ac:dyDescent="0.25">
      <c r="A152">
        <v>151</v>
      </c>
      <c r="B152">
        <v>0.97765800000000003</v>
      </c>
    </row>
    <row r="153" spans="1:2" x14ac:dyDescent="0.25">
      <c r="A153">
        <v>152</v>
      </c>
      <c r="B153">
        <v>0.97789899999999996</v>
      </c>
    </row>
    <row r="154" spans="1:2" x14ac:dyDescent="0.25">
      <c r="A154">
        <v>153</v>
      </c>
      <c r="B154">
        <v>0.97789899999999996</v>
      </c>
    </row>
    <row r="155" spans="1:2" x14ac:dyDescent="0.25">
      <c r="A155">
        <v>154</v>
      </c>
      <c r="B155">
        <v>0.97867300000000002</v>
      </c>
    </row>
    <row r="156" spans="1:2" x14ac:dyDescent="0.25">
      <c r="A156">
        <v>155</v>
      </c>
      <c r="B156">
        <v>0.98237399999999997</v>
      </c>
    </row>
    <row r="157" spans="1:2" x14ac:dyDescent="0.25">
      <c r="A157">
        <v>156</v>
      </c>
      <c r="B157">
        <v>0.98358599999999996</v>
      </c>
    </row>
    <row r="158" spans="1:2" x14ac:dyDescent="0.25">
      <c r="A158">
        <v>157</v>
      </c>
      <c r="B158">
        <v>0.98358599999999996</v>
      </c>
    </row>
    <row r="159" spans="1:2" x14ac:dyDescent="0.25">
      <c r="A159">
        <v>158</v>
      </c>
      <c r="B159">
        <v>0.98358599999999996</v>
      </c>
    </row>
    <row r="160" spans="1:2" x14ac:dyDescent="0.25">
      <c r="A160">
        <v>159</v>
      </c>
      <c r="B160">
        <v>0.98594800000000005</v>
      </c>
    </row>
    <row r="161" spans="1:2" x14ac:dyDescent="0.25">
      <c r="A161">
        <v>160</v>
      </c>
      <c r="B161">
        <v>0.98796300000000004</v>
      </c>
    </row>
    <row r="162" spans="1:2" x14ac:dyDescent="0.25">
      <c r="A162">
        <v>161</v>
      </c>
      <c r="B162">
        <v>0.98796300000000004</v>
      </c>
    </row>
    <row r="163" spans="1:2" x14ac:dyDescent="0.25">
      <c r="A163">
        <v>162</v>
      </c>
      <c r="B163">
        <v>0.98796300000000004</v>
      </c>
    </row>
    <row r="164" spans="1:2" x14ac:dyDescent="0.25">
      <c r="A164">
        <v>163</v>
      </c>
      <c r="B164">
        <v>0.98871900000000001</v>
      </c>
    </row>
    <row r="165" spans="1:2" x14ac:dyDescent="0.25">
      <c r="A165">
        <v>164</v>
      </c>
      <c r="B165">
        <v>0.99075800000000003</v>
      </c>
    </row>
    <row r="166" spans="1:2" x14ac:dyDescent="0.25">
      <c r="A166">
        <v>165</v>
      </c>
      <c r="B166">
        <v>0.99128099999999997</v>
      </c>
    </row>
    <row r="167" spans="1:2" x14ac:dyDescent="0.25">
      <c r="A167">
        <v>166</v>
      </c>
      <c r="B167">
        <v>0.99128099999999997</v>
      </c>
    </row>
    <row r="168" spans="1:2" x14ac:dyDescent="0.25">
      <c r="A168">
        <v>167</v>
      </c>
      <c r="B168">
        <v>0.99128099999999997</v>
      </c>
    </row>
    <row r="169" spans="1:2" x14ac:dyDescent="0.25">
      <c r="A169">
        <v>168</v>
      </c>
      <c r="B169">
        <v>0.99241199999999996</v>
      </c>
    </row>
    <row r="170" spans="1:2" x14ac:dyDescent="0.25">
      <c r="A170">
        <v>169</v>
      </c>
      <c r="B170">
        <v>0.99375899999999995</v>
      </c>
    </row>
    <row r="171" spans="1:2" x14ac:dyDescent="0.25">
      <c r="A171">
        <v>170</v>
      </c>
      <c r="B171">
        <v>0.99375899999999995</v>
      </c>
    </row>
    <row r="172" spans="1:2" x14ac:dyDescent="0.25">
      <c r="A172">
        <v>171</v>
      </c>
      <c r="B172">
        <v>0.99375899999999995</v>
      </c>
    </row>
    <row r="173" spans="1:2" x14ac:dyDescent="0.25">
      <c r="A173">
        <v>172</v>
      </c>
      <c r="B173">
        <v>0.99378100000000003</v>
      </c>
    </row>
    <row r="174" spans="1:2" x14ac:dyDescent="0.25">
      <c r="A174">
        <v>173</v>
      </c>
      <c r="B174">
        <v>0.99484499999999998</v>
      </c>
    </row>
    <row r="175" spans="1:2" x14ac:dyDescent="0.25">
      <c r="A175">
        <v>174</v>
      </c>
      <c r="B175">
        <v>0.995583</v>
      </c>
    </row>
    <row r="176" spans="1:2" x14ac:dyDescent="0.25">
      <c r="A176">
        <v>175</v>
      </c>
      <c r="B176">
        <v>0.995583</v>
      </c>
    </row>
    <row r="177" spans="1:2" x14ac:dyDescent="0.25">
      <c r="A177">
        <v>176</v>
      </c>
      <c r="B177">
        <v>0.995583</v>
      </c>
    </row>
    <row r="178" spans="1:2" x14ac:dyDescent="0.25">
      <c r="A178">
        <v>177</v>
      </c>
      <c r="B178">
        <v>0.99569399999999997</v>
      </c>
    </row>
    <row r="179" spans="1:2" x14ac:dyDescent="0.25">
      <c r="A179">
        <v>178</v>
      </c>
      <c r="B179">
        <v>0.996444</v>
      </c>
    </row>
    <row r="180" spans="1:2" x14ac:dyDescent="0.25">
      <c r="A180">
        <v>179</v>
      </c>
      <c r="B180">
        <v>0.99690599999999996</v>
      </c>
    </row>
    <row r="181" spans="1:2" x14ac:dyDescent="0.25">
      <c r="A181">
        <v>180</v>
      </c>
      <c r="B181">
        <v>0.99690599999999996</v>
      </c>
    </row>
    <row r="182" spans="1:2" x14ac:dyDescent="0.25">
      <c r="A182">
        <v>181</v>
      </c>
      <c r="B182">
        <v>0.99690599999999996</v>
      </c>
    </row>
    <row r="183" spans="1:2" x14ac:dyDescent="0.25">
      <c r="A183">
        <v>182</v>
      </c>
      <c r="B183">
        <v>0.996977</v>
      </c>
    </row>
    <row r="184" spans="1:2" x14ac:dyDescent="0.25">
      <c r="A184">
        <v>183</v>
      </c>
      <c r="B184">
        <v>0.99750099999999997</v>
      </c>
    </row>
    <row r="185" spans="1:2" x14ac:dyDescent="0.25">
      <c r="A185">
        <v>184</v>
      </c>
      <c r="B185">
        <v>0.99785500000000005</v>
      </c>
    </row>
    <row r="186" spans="1:2" x14ac:dyDescent="0.25">
      <c r="A186">
        <v>185</v>
      </c>
      <c r="B186">
        <v>0.99785500000000005</v>
      </c>
    </row>
    <row r="187" spans="1:2" x14ac:dyDescent="0.25">
      <c r="A187">
        <v>186</v>
      </c>
      <c r="B187">
        <v>0.99785500000000005</v>
      </c>
    </row>
    <row r="188" spans="1:2" x14ac:dyDescent="0.25">
      <c r="A188">
        <v>187</v>
      </c>
      <c r="B188">
        <v>0.99785500000000005</v>
      </c>
    </row>
    <row r="189" spans="1:2" x14ac:dyDescent="0.25">
      <c r="A189">
        <v>188</v>
      </c>
      <c r="B189">
        <v>0.99822200000000005</v>
      </c>
    </row>
    <row r="190" spans="1:2" x14ac:dyDescent="0.25">
      <c r="A190">
        <v>189</v>
      </c>
      <c r="B190">
        <v>0.99855099999999997</v>
      </c>
    </row>
    <row r="191" spans="1:2" x14ac:dyDescent="0.25">
      <c r="A191">
        <v>190</v>
      </c>
      <c r="B191">
        <v>0.99855099999999997</v>
      </c>
    </row>
    <row r="192" spans="1:2" x14ac:dyDescent="0.25">
      <c r="A192">
        <v>191</v>
      </c>
      <c r="B192">
        <v>0.99855099999999997</v>
      </c>
    </row>
    <row r="193" spans="1:2" x14ac:dyDescent="0.25">
      <c r="A193">
        <v>192</v>
      </c>
      <c r="B193">
        <v>0.99855099999999997</v>
      </c>
    </row>
    <row r="194" spans="1:2" x14ac:dyDescent="0.25">
      <c r="A194">
        <v>193</v>
      </c>
      <c r="B194">
        <v>0.998722</v>
      </c>
    </row>
    <row r="195" spans="1:2" x14ac:dyDescent="0.25">
      <c r="A195">
        <v>194</v>
      </c>
      <c r="B195">
        <v>0.99897000000000002</v>
      </c>
    </row>
    <row r="196" spans="1:2" x14ac:dyDescent="0.25">
      <c r="A196">
        <v>195</v>
      </c>
      <c r="B196">
        <v>0.99902899999999994</v>
      </c>
    </row>
    <row r="197" spans="1:2" x14ac:dyDescent="0.25">
      <c r="A197">
        <v>196</v>
      </c>
      <c r="B197">
        <v>0.99902899999999994</v>
      </c>
    </row>
    <row r="198" spans="1:2" x14ac:dyDescent="0.25">
      <c r="A198">
        <v>197</v>
      </c>
      <c r="B198">
        <v>0.99902899999999994</v>
      </c>
    </row>
    <row r="199" spans="1:2" x14ac:dyDescent="0.25">
      <c r="A199">
        <v>198</v>
      </c>
      <c r="B199">
        <v>0.99909000000000003</v>
      </c>
    </row>
    <row r="200" spans="1:2" x14ac:dyDescent="0.25">
      <c r="A200">
        <v>199</v>
      </c>
      <c r="B200">
        <v>0.99934900000000004</v>
      </c>
    </row>
    <row r="201" spans="1:2" x14ac:dyDescent="0.25">
      <c r="A201">
        <v>200</v>
      </c>
      <c r="B201">
        <v>0.99953999999999998</v>
      </c>
    </row>
    <row r="202" spans="1:2" x14ac:dyDescent="0.25">
      <c r="A202">
        <v>201</v>
      </c>
      <c r="B202">
        <v>0.99953999999999998</v>
      </c>
    </row>
    <row r="203" spans="1:2" x14ac:dyDescent="0.25">
      <c r="A203">
        <v>202</v>
      </c>
      <c r="B203">
        <v>0.99953999999999998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26</vt:i4>
      </vt:variant>
    </vt:vector>
  </HeadingPairs>
  <TitlesOfParts>
    <vt:vector size="31" baseType="lpstr">
      <vt:lpstr>Pricing</vt:lpstr>
      <vt:lpstr>Convergence_NbSteps</vt:lpstr>
      <vt:lpstr>Convergence_Strike</vt:lpstr>
      <vt:lpstr>Arbre</vt:lpstr>
      <vt:lpstr>Greeks</vt:lpstr>
      <vt:lpstr>AsOfDate</vt:lpstr>
      <vt:lpstr>Div</vt:lpstr>
      <vt:lpstr>Div_Date</vt:lpstr>
      <vt:lpstr>Gap</vt:lpstr>
      <vt:lpstr>is_pruning</vt:lpstr>
      <vt:lpstr>level_pruning</vt:lpstr>
      <vt:lpstr>Maturity</vt:lpstr>
      <vt:lpstr>max_steps</vt:lpstr>
      <vt:lpstr>Nb_Steps</vt:lpstr>
      <vt:lpstr>Nb_Stepss</vt:lpstr>
      <vt:lpstr>NbStepss</vt:lpstr>
      <vt:lpstr>Option_value</vt:lpstr>
      <vt:lpstr>Print_tree</vt:lpstr>
      <vt:lpstr>Rate</vt:lpstr>
      <vt:lpstr>StartPrice</vt:lpstr>
      <vt:lpstr>Strike</vt:lpstr>
      <vt:lpstr>Time_run_Black</vt:lpstr>
      <vt:lpstr>Time_run_python</vt:lpstr>
      <vt:lpstr>Time_run_vba</vt:lpstr>
      <vt:lpstr>Time_To_Expiry</vt:lpstr>
      <vt:lpstr>TimeToExpiry</vt:lpstr>
      <vt:lpstr>Type</vt:lpstr>
      <vt:lpstr>Type_exercice</vt:lpstr>
      <vt:lpstr>Vol</vt:lpstr>
      <vt:lpstr>Volality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Fruchard</dc:creator>
  <cp:lastModifiedBy>Naïm Lehbiben</cp:lastModifiedBy>
  <dcterms:created xsi:type="dcterms:W3CDTF">2023-09-21T12:54:19Z</dcterms:created>
  <dcterms:modified xsi:type="dcterms:W3CDTF">2023-11-17T17:14:32Z</dcterms:modified>
</cp:coreProperties>
</file>